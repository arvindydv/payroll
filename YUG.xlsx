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starwireindia-my.sharepoint.com/personal/premveersingh_starwire_in/Documents/Desktop/"/>
    </mc:Choice>
  </mc:AlternateContent>
  <xr:revisionPtr revIDLastSave="156" documentId="11_46ADF42C5DEC92A0DEDA0D381FA3D9FA4AA59515" xr6:coauthVersionLast="47" xr6:coauthVersionMax="47" xr10:uidLastSave="{BA5D07D1-5516-4A25-8FCE-9562B30B2E25}"/>
  <bookViews>
    <workbookView xWindow="-108" yWindow="-108" windowWidth="23256" windowHeight="12456" activeTab="2" xr2:uid="{00000000-000D-0000-FFFF-FFFF00000000}"/>
  </bookViews>
  <sheets>
    <sheet name="Salary Sheet Apr 26" sheetId="1" r:id="rId1"/>
    <sheet name="Salary Sheet May 26" sheetId="2" r:id="rId2"/>
    <sheet name="Salary sheet Jun 26" sheetId="3" r:id="rId3"/>
  </sheets>
  <definedNames>
    <definedName name="_xlnm._FilterDatabase" localSheetId="0" hidden="1">'Salary Sheet Apr 26'!$A$3:$BF$11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  <c r="G15" i="2"/>
  <c r="AU10" i="2"/>
  <c r="AU9" i="2"/>
  <c r="AU8" i="2"/>
  <c r="AU7" i="2"/>
  <c r="AU6" i="2"/>
  <c r="AU5" i="2"/>
  <c r="AU4" i="2"/>
  <c r="G15" i="3"/>
  <c r="G17" i="3" s="1"/>
  <c r="AY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L11" i="3"/>
  <c r="K11" i="3"/>
  <c r="J11" i="3"/>
  <c r="AW10" i="3"/>
  <c r="AV10" i="3"/>
  <c r="AU10" i="3"/>
  <c r="BB10" i="3" s="1"/>
  <c r="M10" i="3"/>
  <c r="AX10" i="3" s="1"/>
  <c r="AX9" i="3"/>
  <c r="AW9" i="3"/>
  <c r="AV9" i="3"/>
  <c r="AU9" i="3"/>
  <c r="BB9" i="3" s="1"/>
  <c r="M9" i="3"/>
  <c r="AW8" i="3"/>
  <c r="AV8" i="3"/>
  <c r="AU8" i="3"/>
  <c r="BB8" i="3" s="1"/>
  <c r="M8" i="3"/>
  <c r="AX8" i="3" s="1"/>
  <c r="AZ8" i="3" s="1"/>
  <c r="AW7" i="3"/>
  <c r="AV7" i="3"/>
  <c r="AU7" i="3"/>
  <c r="BB7" i="3" s="1"/>
  <c r="M7" i="3"/>
  <c r="AX7" i="3" s="1"/>
  <c r="AW6" i="3"/>
  <c r="AV6" i="3"/>
  <c r="AU6" i="3"/>
  <c r="BB6" i="3" s="1"/>
  <c r="M6" i="3"/>
  <c r="M11" i="3" s="1"/>
  <c r="AX5" i="3"/>
  <c r="AW5" i="3"/>
  <c r="AV5" i="3"/>
  <c r="AU5" i="3"/>
  <c r="BB5" i="3" s="1"/>
  <c r="M5" i="3"/>
  <c r="AX4" i="3"/>
  <c r="AW4" i="3"/>
  <c r="AV4" i="3"/>
  <c r="AU4" i="3"/>
  <c r="BB4" i="3" s="1"/>
  <c r="M4" i="3"/>
  <c r="G17" i="2"/>
  <c r="AY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L11" i="2"/>
  <c r="K11" i="2"/>
  <c r="J11" i="2"/>
  <c r="BB10" i="2"/>
  <c r="AX10" i="2"/>
  <c r="AW10" i="2"/>
  <c r="AV10" i="2"/>
  <c r="M10" i="2"/>
  <c r="AX9" i="2"/>
  <c r="AW9" i="2"/>
  <c r="AZ9" i="2" s="1"/>
  <c r="AV9" i="2"/>
  <c r="BB9" i="2"/>
  <c r="M9" i="2"/>
  <c r="BB8" i="2"/>
  <c r="AX8" i="2"/>
  <c r="AW8" i="2"/>
  <c r="AV8" i="2"/>
  <c r="M8" i="2"/>
  <c r="AW7" i="2"/>
  <c r="AV7" i="2"/>
  <c r="BB7" i="2"/>
  <c r="M7" i="2"/>
  <c r="AX7" i="2" s="1"/>
  <c r="AZ7" i="2" s="1"/>
  <c r="AW6" i="2"/>
  <c r="AV6" i="2"/>
  <c r="BB6" i="2"/>
  <c r="M6" i="2"/>
  <c r="AX6" i="2" s="1"/>
  <c r="BB5" i="2"/>
  <c r="AW5" i="2"/>
  <c r="AV5" i="2"/>
  <c r="M5" i="2"/>
  <c r="AX5" i="2" s="1"/>
  <c r="AX4" i="2"/>
  <c r="AW4" i="2"/>
  <c r="AV4" i="2"/>
  <c r="M4" i="2"/>
  <c r="M11" i="2" s="1"/>
  <c r="AU10" i="1"/>
  <c r="AU9" i="1"/>
  <c r="AU8" i="1"/>
  <c r="AU7" i="1"/>
  <c r="AU6" i="1"/>
  <c r="AU5" i="1"/>
  <c r="AU4" i="1"/>
  <c r="K11" i="1"/>
  <c r="L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Y11" i="1"/>
  <c r="AZ5" i="2" l="1"/>
  <c r="AW11" i="3"/>
  <c r="AZ5" i="3"/>
  <c r="AZ9" i="3"/>
  <c r="AV11" i="3"/>
  <c r="AZ7" i="3"/>
  <c r="BA7" i="3" s="1"/>
  <c r="AZ10" i="3"/>
  <c r="BC10" i="3" s="1"/>
  <c r="AZ6" i="2"/>
  <c r="BA6" i="2" s="1"/>
  <c r="AZ10" i="2"/>
  <c r="BC10" i="2" s="1"/>
  <c r="BA9" i="2"/>
  <c r="BC9" i="2"/>
  <c r="BD9" i="2" s="1"/>
  <c r="BE9" i="2" s="1"/>
  <c r="AZ8" i="2"/>
  <c r="BC8" i="2" s="1"/>
  <c r="AU11" i="2"/>
  <c r="AV11" i="2"/>
  <c r="AW11" i="2"/>
  <c r="BB4" i="2"/>
  <c r="BB11" i="2" s="1"/>
  <c r="BC8" i="3"/>
  <c r="BD8" i="3" s="1"/>
  <c r="BE8" i="3" s="1"/>
  <c r="BA8" i="3"/>
  <c r="AX11" i="3"/>
  <c r="BC9" i="3"/>
  <c r="BA9" i="3"/>
  <c r="BB11" i="3"/>
  <c r="AU11" i="3"/>
  <c r="AX6" i="3"/>
  <c r="AZ6" i="3" s="1"/>
  <c r="AZ4" i="3"/>
  <c r="BC5" i="2"/>
  <c r="BA5" i="2"/>
  <c r="BA10" i="2"/>
  <c r="BC7" i="2"/>
  <c r="BA7" i="2"/>
  <c r="AX11" i="2"/>
  <c r="AZ4" i="2"/>
  <c r="AU11" i="1"/>
  <c r="J11" i="1"/>
  <c r="AW10" i="1"/>
  <c r="AV10" i="1"/>
  <c r="AW9" i="1"/>
  <c r="AV9" i="1"/>
  <c r="AW7" i="1"/>
  <c r="AV7" i="1"/>
  <c r="AW5" i="1"/>
  <c r="AV5" i="1"/>
  <c r="AW4" i="1"/>
  <c r="AV4" i="1"/>
  <c r="AW8" i="1"/>
  <c r="AV8" i="1"/>
  <c r="BB10" i="1"/>
  <c r="BB9" i="1"/>
  <c r="BB7" i="1"/>
  <c r="BB4" i="1"/>
  <c r="BB8" i="1"/>
  <c r="BC6" i="2" l="1"/>
  <c r="BD9" i="3"/>
  <c r="BE9" i="3" s="1"/>
  <c r="BC5" i="3"/>
  <c r="BC7" i="3"/>
  <c r="BD7" i="3" s="1"/>
  <c r="BE7" i="3" s="1"/>
  <c r="BA5" i="3"/>
  <c r="BA10" i="3"/>
  <c r="BA8" i="2"/>
  <c r="BD8" i="2" s="1"/>
  <c r="BE8" i="2" s="1"/>
  <c r="BD6" i="2"/>
  <c r="BE6" i="2" s="1"/>
  <c r="BC4" i="3"/>
  <c r="AZ11" i="3"/>
  <c r="BA4" i="3"/>
  <c r="BD10" i="3"/>
  <c r="BE10" i="3" s="1"/>
  <c r="BA6" i="3"/>
  <c r="BC6" i="3"/>
  <c r="BD7" i="2"/>
  <c r="BE7" i="2" s="1"/>
  <c r="BA4" i="2"/>
  <c r="AZ11" i="2"/>
  <c r="BC4" i="2"/>
  <c r="BD10" i="2"/>
  <c r="BE10" i="2" s="1"/>
  <c r="BD5" i="2"/>
  <c r="BE5" i="2" s="1"/>
  <c r="BB5" i="1"/>
  <c r="BD5" i="3" l="1"/>
  <c r="BE5" i="3" s="1"/>
  <c r="BA11" i="2"/>
  <c r="BA11" i="3"/>
  <c r="BD6" i="3"/>
  <c r="BE6" i="3" s="1"/>
  <c r="BD4" i="3"/>
  <c r="BC11" i="3"/>
  <c r="BC11" i="2"/>
  <c r="BD4" i="2"/>
  <c r="AW6" i="1"/>
  <c r="AW11" i="1" s="1"/>
  <c r="AV6" i="1"/>
  <c r="AV11" i="1" s="1"/>
  <c r="BB6" i="1"/>
  <c r="BB11" i="1" s="1"/>
  <c r="M10" i="1"/>
  <c r="AX10" i="1" s="1"/>
  <c r="AZ10" i="1" s="1"/>
  <c r="M4" i="1"/>
  <c r="M6" i="1"/>
  <c r="BD11" i="3" l="1"/>
  <c r="BE4" i="3"/>
  <c r="BE11" i="3" s="1"/>
  <c r="BD11" i="2"/>
  <c r="BE4" i="2"/>
  <c r="BE11" i="2" s="1"/>
  <c r="AX4" i="1"/>
  <c r="BC10" i="1"/>
  <c r="BA10" i="1"/>
  <c r="AX6" i="1"/>
  <c r="AZ6" i="1" s="1"/>
  <c r="M9" i="1"/>
  <c r="AX9" i="1" s="1"/>
  <c r="AZ9" i="1" s="1"/>
  <c r="M8" i="1"/>
  <c r="AX8" i="1" s="1"/>
  <c r="AZ8" i="1" s="1"/>
  <c r="M5" i="1"/>
  <c r="AX5" i="1" s="1"/>
  <c r="AZ5" i="1" s="1"/>
  <c r="M7" i="1"/>
  <c r="AX7" i="1" s="1"/>
  <c r="AZ7" i="1" s="1"/>
  <c r="M11" i="1" l="1"/>
  <c r="AZ4" i="1"/>
  <c r="AX11" i="1"/>
  <c r="BD10" i="1"/>
  <c r="BE10" i="1" s="1"/>
  <c r="BC7" i="1"/>
  <c r="BA7" i="1"/>
  <c r="BA9" i="1"/>
  <c r="BC9" i="1"/>
  <c r="BC5" i="1"/>
  <c r="BA5" i="1"/>
  <c r="BC6" i="1"/>
  <c r="BA8" i="1"/>
  <c r="BC8" i="1"/>
  <c r="BA6" i="1"/>
  <c r="BA4" i="1" l="1"/>
  <c r="BC4" i="1"/>
  <c r="BD4" i="1" s="1"/>
  <c r="BA11" i="1"/>
  <c r="AZ11" i="1"/>
  <c r="BE4" i="1"/>
  <c r="BD5" i="1"/>
  <c r="BE5" i="1" s="1"/>
  <c r="BD8" i="1"/>
  <c r="BE8" i="1" s="1"/>
  <c r="BD7" i="1"/>
  <c r="BE7" i="1" s="1"/>
  <c r="BD6" i="1"/>
  <c r="BD9" i="1"/>
  <c r="BE9" i="1" s="1"/>
  <c r="BC11" i="1" l="1"/>
  <c r="BD11" i="1"/>
  <c r="BE6" i="1"/>
  <c r="BE11" i="1" s="1"/>
</calcChain>
</file>

<file path=xl/sharedStrings.xml><?xml version="1.0" encoding="utf-8"?>
<sst xmlns="http://schemas.openxmlformats.org/spreadsheetml/2006/main" count="195" uniqueCount="59">
  <si>
    <t>Total</t>
  </si>
  <si>
    <t>SIGNATURE</t>
  </si>
  <si>
    <t>NET PAY</t>
  </si>
  <si>
    <t>T.DED</t>
  </si>
  <si>
    <t>LWF</t>
  </si>
  <si>
    <t>PF 12%</t>
  </si>
  <si>
    <t>ESI 0.75%</t>
  </si>
  <si>
    <t>GROSS</t>
  </si>
  <si>
    <t xml:space="preserve">Arear </t>
  </si>
  <si>
    <t>OT</t>
  </si>
  <si>
    <t>E.CONV</t>
  </si>
  <si>
    <t>E.HRA</t>
  </si>
  <si>
    <t>E.BASIC</t>
  </si>
  <si>
    <t>OT Hrs</t>
  </si>
  <si>
    <t>DAYS</t>
  </si>
  <si>
    <t>TOTAL</t>
  </si>
  <si>
    <t>Conv</t>
  </si>
  <si>
    <t>HRA</t>
  </si>
  <si>
    <t>BASIC</t>
  </si>
  <si>
    <t>UAN NO</t>
  </si>
  <si>
    <t>ESI NO</t>
  </si>
  <si>
    <t>DOB</t>
  </si>
  <si>
    <t>DOJ</t>
  </si>
  <si>
    <t>DEPTT.</t>
  </si>
  <si>
    <t>F.Name</t>
  </si>
  <si>
    <t>NAME</t>
  </si>
  <si>
    <t>Emp Code</t>
  </si>
  <si>
    <t>S.NO</t>
  </si>
  <si>
    <t>DEDUCTION</t>
  </si>
  <si>
    <t>Earn Wages</t>
  </si>
  <si>
    <t xml:space="preserve"> M/O-</t>
  </si>
  <si>
    <t>YUG ENTERPRISES</t>
  </si>
  <si>
    <t>MANOJ KUMAR</t>
  </si>
  <si>
    <t>NARESH</t>
  </si>
  <si>
    <t>RAVINDRA KUMAR YADAV</t>
  </si>
  <si>
    <t>DEEPAK YADAV</t>
  </si>
  <si>
    <t>CHATER SINGH</t>
  </si>
  <si>
    <t>JAIVEER</t>
  </si>
  <si>
    <t>ATUL YADAV</t>
  </si>
  <si>
    <t>SURENDRA KUMAR YADAV</t>
  </si>
  <si>
    <t>OMPRAKASH YADAV</t>
  </si>
  <si>
    <t>MANSINGH</t>
  </si>
  <si>
    <t>RAM PHOOL</t>
  </si>
  <si>
    <t>MAHESH</t>
  </si>
  <si>
    <t>BALKISHAN</t>
  </si>
  <si>
    <t>SUKHRAM</t>
  </si>
  <si>
    <t>12/07/1990</t>
  </si>
  <si>
    <t>25/10/1992</t>
  </si>
  <si>
    <t>18/02/1998</t>
  </si>
  <si>
    <t>10/03/2000</t>
  </si>
  <si>
    <t>20/08/2002</t>
  </si>
  <si>
    <t>17/11/2006</t>
  </si>
  <si>
    <t>30/06/1998</t>
  </si>
  <si>
    <t>22/07/2026</t>
  </si>
  <si>
    <t>23/07/2026</t>
  </si>
  <si>
    <t>ir</t>
  </si>
  <si>
    <t>Esi@0.75%</t>
  </si>
  <si>
    <t>Esi@3.25%</t>
  </si>
  <si>
    <t>SALARY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</si>
</sst>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"/>
  </numFmts>
  <fonts count="13" x14ac:knownFonts="1">
    <font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b/>
      <sz val="13"/>
      <color rgb="FF202124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9"/>
      <name val="Arial"/>
      <family val="2"/>
    </font>
    <font>
      <sz val="10"/>
      <color rgb="FF333333"/>
      <name val="Trebuchet MS"/>
      <family val="2"/>
    </font>
    <font>
      <sz val="7"/>
      <color rgb="FF000000"/>
      <name val="Courier New"/>
      <family val="3"/>
    </font>
    <font>
      <sz val="10"/>
      <color rgb="FF363636"/>
      <name val="Trebuchet MS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 indent="3"/>
    </xf>
    <xf numFmtId="0" fontId="3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 indent="3"/>
    </xf>
    <xf numFmtId="164" fontId="4" fillId="0" borderId="0" xfId="0" applyNumberFormat="1" applyFont="1" applyAlignment="1">
      <alignment horizontal="left" vertical="center" indent="3"/>
    </xf>
    <xf numFmtId="164" fontId="5" fillId="0" borderId="0" xfId="0" applyNumberFormat="1" applyFont="1" applyAlignment="1">
      <alignment horizontal="left" vertical="center" indent="3"/>
    </xf>
    <xf numFmtId="0" fontId="2" fillId="0" borderId="0" xfId="0" applyFont="1" applyAlignment="1">
      <alignment horizontal="left" indent="3"/>
    </xf>
    <xf numFmtId="0" fontId="1" fillId="0" borderId="0" xfId="0" applyFont="1" applyAlignment="1">
      <alignment horizontal="left" vertical="center" indent="1"/>
    </xf>
    <xf numFmtId="164" fontId="4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left"/>
    </xf>
    <xf numFmtId="0" fontId="1" fillId="0" borderId="4" xfId="0" applyFont="1" applyBorder="1" applyAlignment="1"/>
    <xf numFmtId="0" fontId="2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/>
    <xf numFmtId="0" fontId="11" fillId="0" borderId="4" xfId="0" applyFont="1" applyBorder="1" applyAlignment="1"/>
    <xf numFmtId="1" fontId="9" fillId="0" borderId="4" xfId="0" applyNumberFormat="1" applyFont="1" applyBorder="1" applyAlignment="1">
      <alignment horizontal="center" vertical="top" wrapText="1"/>
    </xf>
    <xf numFmtId="0" fontId="0" fillId="0" borderId="4" xfId="0" applyBorder="1" applyAlignment="1"/>
    <xf numFmtId="1" fontId="0" fillId="0" borderId="4" xfId="0" applyNumberFormat="1" applyBorder="1" applyAlignment="1"/>
    <xf numFmtId="1" fontId="2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 textRotation="180" wrapText="1"/>
    </xf>
    <xf numFmtId="0" fontId="0" fillId="0" borderId="5" xfId="0" applyBorder="1" applyAlignment="1">
      <alignment wrapText="1"/>
    </xf>
    <xf numFmtId="49" fontId="2" fillId="0" borderId="4" xfId="0" applyNumberFormat="1" applyFont="1" applyBorder="1" applyAlignment="1"/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2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si@3.25%25" TargetMode="External"/><Relationship Id="rId1" Type="http://schemas.openxmlformats.org/officeDocument/2006/relationships/hyperlink" Target="mailto:Esi@0.75%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si@3.25%25" TargetMode="External"/><Relationship Id="rId1" Type="http://schemas.openxmlformats.org/officeDocument/2006/relationships/hyperlink" Target="mailto:Esi@0.75%2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si@3.25%25" TargetMode="External"/><Relationship Id="rId1" Type="http://schemas.openxmlformats.org/officeDocument/2006/relationships/hyperlink" Target="mailto:Esi@0.7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7"/>
  <sheetViews>
    <sheetView zoomScale="104" workbookViewId="0">
      <selection activeCell="F1" sqref="F1:H1"/>
    </sheetView>
  </sheetViews>
  <sheetFormatPr defaultColWidth="9.109375" defaultRowHeight="14.4" x14ac:dyDescent="0.3"/>
  <cols>
    <col min="1" max="1" width="5.6640625" style="1" customWidth="1"/>
    <col min="2" max="2" width="6.5546875" style="2" customWidth="1"/>
    <col min="3" max="3" width="23.109375" style="3" bestFit="1" customWidth="1"/>
    <col min="4" max="4" width="23.33203125" style="3" bestFit="1" customWidth="1"/>
    <col min="5" max="5" width="3.6640625" style="4" customWidth="1"/>
    <col min="6" max="7" width="11.109375" style="4" bestFit="1" customWidth="1"/>
    <col min="8" max="8" width="14" style="4" bestFit="1" customWidth="1"/>
    <col min="9" max="9" width="14" style="4" customWidth="1"/>
    <col min="10" max="10" width="10.44140625" style="4" customWidth="1"/>
    <col min="11" max="11" width="12.44140625" style="4" bestFit="1" customWidth="1"/>
    <col min="12" max="12" width="7.44140625" style="4" customWidth="1"/>
    <col min="13" max="13" width="7.109375" style="4" customWidth="1"/>
    <col min="14" max="15" width="5.33203125" style="5" hidden="1" customWidth="1"/>
    <col min="16" max="16" width="5.33203125" style="6" hidden="1" customWidth="1"/>
    <col min="17" max="44" width="5.33203125" style="5" hidden="1" customWidth="1"/>
    <col min="45" max="45" width="7.109375" style="5" customWidth="1"/>
    <col min="46" max="46" width="6.44140625" style="5" customWidth="1"/>
    <col min="47" max="47" width="10.44140625" style="5" customWidth="1"/>
    <col min="48" max="48" width="6.88671875" style="5" bestFit="1" customWidth="1"/>
    <col min="49" max="49" width="6.6640625" style="5" customWidth="1"/>
    <col min="50" max="50" width="7.88671875" style="5" bestFit="1" customWidth="1"/>
    <col min="51" max="51" width="10.44140625" style="4" customWidth="1"/>
    <col min="52" max="52" width="10.109375" style="5" bestFit="1" customWidth="1"/>
    <col min="53" max="53" width="8.109375" style="5" customWidth="1"/>
    <col min="54" max="54" width="8" style="5" bestFit="1" customWidth="1"/>
    <col min="55" max="55" width="5.88671875" style="5" bestFit="1" customWidth="1"/>
    <col min="56" max="56" width="7.44140625" style="5" customWidth="1"/>
    <col min="57" max="58" width="8.6640625" style="5" customWidth="1"/>
    <col min="59" max="16384" width="9.109375" style="5"/>
  </cols>
  <sheetData>
    <row r="1" spans="1:58" s="7" customFormat="1" ht="27" customHeight="1" x14ac:dyDescent="0.3">
      <c r="A1" s="42" t="s">
        <v>31</v>
      </c>
      <c r="B1" s="42"/>
      <c r="C1" s="42"/>
      <c r="D1" s="8"/>
      <c r="E1" s="9"/>
      <c r="F1" s="47" t="s">
        <v>58</v>
      </c>
      <c r="G1" s="47"/>
      <c r="H1" s="47"/>
      <c r="I1" s="9"/>
      <c r="J1" s="10" t="s">
        <v>30</v>
      </c>
      <c r="K1" s="11">
        <v>46113</v>
      </c>
      <c r="L1" s="11"/>
      <c r="M1" s="9"/>
      <c r="P1" s="12"/>
      <c r="AY1" s="10"/>
    </row>
    <row r="2" spans="1:58" ht="18" x14ac:dyDescent="0.3">
      <c r="A2" s="13"/>
      <c r="J2" s="14"/>
      <c r="K2" s="15"/>
      <c r="L2" s="15"/>
      <c r="AU2" s="43" t="s">
        <v>29</v>
      </c>
      <c r="AV2" s="44"/>
      <c r="AW2" s="44"/>
      <c r="AX2" s="44"/>
      <c r="AY2" s="45"/>
      <c r="BA2" s="43" t="s">
        <v>28</v>
      </c>
      <c r="BB2" s="44"/>
      <c r="BC2" s="44"/>
      <c r="BD2" s="45"/>
    </row>
    <row r="3" spans="1:58" s="17" customFormat="1" ht="45" customHeight="1" x14ac:dyDescent="0.3">
      <c r="A3" s="18" t="s">
        <v>27</v>
      </c>
      <c r="B3" s="19" t="s">
        <v>26</v>
      </c>
      <c r="C3" s="18" t="s">
        <v>25</v>
      </c>
      <c r="D3" s="18" t="s">
        <v>24</v>
      </c>
      <c r="E3" s="38" t="s">
        <v>23</v>
      </c>
      <c r="F3" s="19" t="s">
        <v>22</v>
      </c>
      <c r="G3" s="19" t="s">
        <v>21</v>
      </c>
      <c r="H3" s="19" t="s">
        <v>20</v>
      </c>
      <c r="I3" s="19" t="s">
        <v>19</v>
      </c>
      <c r="J3" s="19" t="s">
        <v>18</v>
      </c>
      <c r="K3" s="19" t="s">
        <v>17</v>
      </c>
      <c r="L3" s="19" t="s">
        <v>16</v>
      </c>
      <c r="M3" s="19" t="s">
        <v>15</v>
      </c>
      <c r="N3" s="20">
        <v>1</v>
      </c>
      <c r="O3" s="20">
        <v>2</v>
      </c>
      <c r="P3" s="21">
        <v>3</v>
      </c>
      <c r="Q3" s="20">
        <v>4</v>
      </c>
      <c r="R3" s="20">
        <v>5</v>
      </c>
      <c r="S3" s="20">
        <v>6</v>
      </c>
      <c r="T3" s="20">
        <v>7</v>
      </c>
      <c r="U3" s="20">
        <v>8</v>
      </c>
      <c r="V3" s="20">
        <v>9</v>
      </c>
      <c r="W3" s="20">
        <v>10</v>
      </c>
      <c r="X3" s="20">
        <v>11</v>
      </c>
      <c r="Y3" s="20">
        <v>12</v>
      </c>
      <c r="Z3" s="20">
        <v>13</v>
      </c>
      <c r="AA3" s="20">
        <v>14</v>
      </c>
      <c r="AB3" s="20">
        <v>15</v>
      </c>
      <c r="AC3" s="20">
        <v>16</v>
      </c>
      <c r="AD3" s="20">
        <v>17</v>
      </c>
      <c r="AE3" s="20">
        <v>18</v>
      </c>
      <c r="AF3" s="20">
        <v>19</v>
      </c>
      <c r="AG3" s="20">
        <v>20</v>
      </c>
      <c r="AH3" s="20">
        <v>21</v>
      </c>
      <c r="AI3" s="20">
        <v>22</v>
      </c>
      <c r="AJ3" s="20">
        <v>23</v>
      </c>
      <c r="AK3" s="20">
        <v>24</v>
      </c>
      <c r="AL3" s="20">
        <v>25</v>
      </c>
      <c r="AM3" s="20">
        <v>26</v>
      </c>
      <c r="AN3" s="20">
        <v>27</v>
      </c>
      <c r="AO3" s="20">
        <v>28</v>
      </c>
      <c r="AP3" s="20">
        <v>29</v>
      </c>
      <c r="AQ3" s="20">
        <v>30</v>
      </c>
      <c r="AR3" s="20">
        <v>31</v>
      </c>
      <c r="AS3" s="20" t="s">
        <v>14</v>
      </c>
      <c r="AT3" s="20" t="s">
        <v>13</v>
      </c>
      <c r="AU3" s="20" t="s">
        <v>12</v>
      </c>
      <c r="AV3" s="20" t="s">
        <v>11</v>
      </c>
      <c r="AW3" s="20" t="s">
        <v>10</v>
      </c>
      <c r="AX3" s="20" t="s">
        <v>9</v>
      </c>
      <c r="AY3" s="19" t="s">
        <v>8</v>
      </c>
      <c r="AZ3" s="20" t="s">
        <v>7</v>
      </c>
      <c r="BA3" s="20" t="s">
        <v>6</v>
      </c>
      <c r="BB3" s="20" t="s">
        <v>5</v>
      </c>
      <c r="BC3" s="20" t="s">
        <v>4</v>
      </c>
      <c r="BD3" s="20" t="s">
        <v>3</v>
      </c>
      <c r="BE3" s="20" t="s">
        <v>2</v>
      </c>
      <c r="BF3" s="20" t="s">
        <v>1</v>
      </c>
    </row>
    <row r="4" spans="1:58" ht="15" customHeight="1" x14ac:dyDescent="0.3">
      <c r="A4" s="22">
        <v>1</v>
      </c>
      <c r="B4" s="23"/>
      <c r="C4" s="41" t="s">
        <v>34</v>
      </c>
      <c r="D4" s="35" t="s">
        <v>39</v>
      </c>
      <c r="E4" s="35"/>
      <c r="F4" s="40" t="s">
        <v>54</v>
      </c>
      <c r="G4" s="40" t="s">
        <v>46</v>
      </c>
      <c r="H4" s="39" t="s">
        <v>55</v>
      </c>
      <c r="I4" s="36"/>
      <c r="J4" s="22">
        <v>15221</v>
      </c>
      <c r="K4" s="25">
        <v>0</v>
      </c>
      <c r="L4" s="25">
        <v>0</v>
      </c>
      <c r="M4" s="22">
        <f t="shared" ref="M4:M10" si="0">SUM(J4:L4)</f>
        <v>15221</v>
      </c>
      <c r="N4" s="24"/>
      <c r="O4" s="24"/>
      <c r="P4" s="27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16">
        <v>10</v>
      </c>
      <c r="AT4" s="24">
        <v>0</v>
      </c>
      <c r="AU4" s="26">
        <f>J4/30*AS4</f>
        <v>5073.666666666667</v>
      </c>
      <c r="AV4" s="26">
        <f t="shared" ref="AV4:AV10" si="1">K4/31*AS4</f>
        <v>0</v>
      </c>
      <c r="AW4" s="26">
        <f t="shared" ref="AW4:AW10" si="2">L4/31*AS4</f>
        <v>0</v>
      </c>
      <c r="AX4" s="26">
        <f t="shared" ref="AX4:AX10" si="3">M4/31/8*AT4</f>
        <v>0</v>
      </c>
      <c r="AY4" s="22">
        <v>0</v>
      </c>
      <c r="AZ4" s="26">
        <f t="shared" ref="AZ4:AZ10" si="4">AY4+AX4+AW4+AU4+AV4</f>
        <v>5073.666666666667</v>
      </c>
      <c r="BA4" s="26">
        <f t="shared" ref="BA4:BA10" si="5">AZ4*0.75/100</f>
        <v>38.052500000000002</v>
      </c>
      <c r="BB4" s="26">
        <f t="shared" ref="BB4:BB10" si="6">AU4*12/100</f>
        <v>608.84</v>
      </c>
      <c r="BC4" s="26">
        <f t="shared" ref="BC4:BC10" si="7">(AZ4-AX4)*0.2/100</f>
        <v>10.147333333333334</v>
      </c>
      <c r="BD4" s="26">
        <f t="shared" ref="BD4:BD10" si="8">BC4+BB4+BA4</f>
        <v>657.03983333333338</v>
      </c>
      <c r="BE4" s="26">
        <f t="shared" ref="BE4:BE10" si="9">AZ4-BD4</f>
        <v>4416.6268333333337</v>
      </c>
      <c r="BF4" s="26"/>
    </row>
    <row r="5" spans="1:58" ht="15" customHeight="1" x14ac:dyDescent="0.3">
      <c r="A5" s="22">
        <v>2</v>
      </c>
      <c r="B5" s="23"/>
      <c r="C5" s="41" t="s">
        <v>35</v>
      </c>
      <c r="D5" s="24" t="s">
        <v>40</v>
      </c>
      <c r="E5" s="32"/>
      <c r="F5" s="40" t="s">
        <v>54</v>
      </c>
      <c r="G5" s="40" t="s">
        <v>47</v>
      </c>
      <c r="H5" s="39">
        <v>1328727853</v>
      </c>
      <c r="I5" s="26"/>
      <c r="J5" s="22">
        <v>15221</v>
      </c>
      <c r="K5" s="25">
        <v>0</v>
      </c>
      <c r="L5" s="25">
        <v>0</v>
      </c>
      <c r="M5" s="22">
        <f t="shared" si="0"/>
        <v>15221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>
        <v>18</v>
      </c>
      <c r="AT5" s="24">
        <v>0</v>
      </c>
      <c r="AU5" s="26">
        <f t="shared" ref="AU5:AU10" si="10">J5/30*AS5</f>
        <v>9132.6</v>
      </c>
      <c r="AV5" s="26">
        <f t="shared" si="1"/>
        <v>0</v>
      </c>
      <c r="AW5" s="26">
        <f t="shared" si="2"/>
        <v>0</v>
      </c>
      <c r="AX5" s="26">
        <f t="shared" si="3"/>
        <v>0</v>
      </c>
      <c r="AY5" s="22">
        <v>0</v>
      </c>
      <c r="AZ5" s="26">
        <f t="shared" si="4"/>
        <v>9132.6</v>
      </c>
      <c r="BA5" s="26">
        <f t="shared" si="5"/>
        <v>68.494500000000002</v>
      </c>
      <c r="BB5" s="26">
        <f t="shared" si="6"/>
        <v>1095.912</v>
      </c>
      <c r="BC5" s="26">
        <f t="shared" si="7"/>
        <v>18.265200000000004</v>
      </c>
      <c r="BD5" s="26">
        <f t="shared" si="8"/>
        <v>1182.6717000000001</v>
      </c>
      <c r="BE5" s="26">
        <f t="shared" si="9"/>
        <v>7949.9283000000005</v>
      </c>
      <c r="BF5" s="26"/>
    </row>
    <row r="6" spans="1:58" ht="15" customHeight="1" x14ac:dyDescent="0.3">
      <c r="A6" s="22">
        <v>3</v>
      </c>
      <c r="B6" s="23"/>
      <c r="C6" s="39" t="s">
        <v>32</v>
      </c>
      <c r="D6" s="35" t="s">
        <v>41</v>
      </c>
      <c r="E6" s="35"/>
      <c r="F6" s="40" t="s">
        <v>53</v>
      </c>
      <c r="G6" s="40" t="s">
        <v>48</v>
      </c>
      <c r="H6" s="39">
        <v>3911896085</v>
      </c>
      <c r="I6" s="36"/>
      <c r="J6" s="22">
        <v>15221</v>
      </c>
      <c r="K6" s="25">
        <v>0</v>
      </c>
      <c r="L6" s="25">
        <v>0</v>
      </c>
      <c r="M6" s="22">
        <f t="shared" si="0"/>
        <v>15221</v>
      </c>
      <c r="N6" s="24"/>
      <c r="O6" s="24"/>
      <c r="P6" s="27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16">
        <v>12</v>
      </c>
      <c r="AT6" s="24">
        <v>0</v>
      </c>
      <c r="AU6" s="26">
        <f t="shared" si="10"/>
        <v>6088.4</v>
      </c>
      <c r="AV6" s="26">
        <f t="shared" si="1"/>
        <v>0</v>
      </c>
      <c r="AW6" s="26">
        <f t="shared" si="2"/>
        <v>0</v>
      </c>
      <c r="AX6" s="26">
        <f t="shared" si="3"/>
        <v>0</v>
      </c>
      <c r="AY6" s="22">
        <v>0</v>
      </c>
      <c r="AZ6" s="26">
        <f t="shared" si="4"/>
        <v>6088.4</v>
      </c>
      <c r="BA6" s="26">
        <f t="shared" si="5"/>
        <v>45.66299999999999</v>
      </c>
      <c r="BB6" s="26">
        <f t="shared" si="6"/>
        <v>730.60799999999983</v>
      </c>
      <c r="BC6" s="26">
        <f t="shared" si="7"/>
        <v>12.1768</v>
      </c>
      <c r="BD6" s="26">
        <f t="shared" si="8"/>
        <v>788.4477999999998</v>
      </c>
      <c r="BE6" s="26">
        <f t="shared" si="9"/>
        <v>5299.9521999999997</v>
      </c>
      <c r="BF6" s="26"/>
    </row>
    <row r="7" spans="1:58" x14ac:dyDescent="0.3">
      <c r="A7" s="22">
        <v>4</v>
      </c>
      <c r="B7" s="23"/>
      <c r="C7" s="39" t="s">
        <v>36</v>
      </c>
      <c r="D7" s="24" t="s">
        <v>42</v>
      </c>
      <c r="E7" s="25"/>
      <c r="F7" s="40" t="s">
        <v>46</v>
      </c>
      <c r="G7" s="40" t="s">
        <v>49</v>
      </c>
      <c r="H7" s="39">
        <v>1328727854</v>
      </c>
      <c r="I7" s="26"/>
      <c r="J7" s="22">
        <v>15221</v>
      </c>
      <c r="K7" s="25">
        <v>0</v>
      </c>
      <c r="L7" s="25">
        <v>0</v>
      </c>
      <c r="M7" s="22">
        <f t="shared" si="0"/>
        <v>15221</v>
      </c>
      <c r="N7" s="24"/>
      <c r="O7" s="24"/>
      <c r="P7" s="27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16">
        <v>16</v>
      </c>
      <c r="AT7" s="24">
        <v>0</v>
      </c>
      <c r="AU7" s="26">
        <f t="shared" si="10"/>
        <v>8117.8666666666668</v>
      </c>
      <c r="AV7" s="26">
        <f t="shared" si="1"/>
        <v>0</v>
      </c>
      <c r="AW7" s="26">
        <f t="shared" si="2"/>
        <v>0</v>
      </c>
      <c r="AX7" s="26">
        <f t="shared" si="3"/>
        <v>0</v>
      </c>
      <c r="AY7" s="22">
        <v>0</v>
      </c>
      <c r="AZ7" s="26">
        <f t="shared" si="4"/>
        <v>8117.8666666666668</v>
      </c>
      <c r="BA7" s="26">
        <f t="shared" si="5"/>
        <v>60.883999999999993</v>
      </c>
      <c r="BB7" s="26">
        <f t="shared" si="6"/>
        <v>974.14399999999989</v>
      </c>
      <c r="BC7" s="26">
        <f t="shared" si="7"/>
        <v>16.235733333333336</v>
      </c>
      <c r="BD7" s="26">
        <f t="shared" si="8"/>
        <v>1051.2637333333332</v>
      </c>
      <c r="BE7" s="26">
        <f t="shared" si="9"/>
        <v>7066.6029333333336</v>
      </c>
      <c r="BF7" s="26"/>
    </row>
    <row r="8" spans="1:58" ht="15" x14ac:dyDescent="0.35">
      <c r="A8" s="22">
        <v>5</v>
      </c>
      <c r="B8" s="23"/>
      <c r="C8" s="39" t="s">
        <v>33</v>
      </c>
      <c r="D8" s="33" t="s">
        <v>43</v>
      </c>
      <c r="E8" s="25"/>
      <c r="F8" s="40" t="s">
        <v>53</v>
      </c>
      <c r="G8" s="40" t="s">
        <v>50</v>
      </c>
      <c r="H8" s="39">
        <v>1327477540</v>
      </c>
      <c r="I8" s="26"/>
      <c r="J8" s="22">
        <v>15221</v>
      </c>
      <c r="K8" s="25">
        <v>0</v>
      </c>
      <c r="L8" s="25">
        <v>0</v>
      </c>
      <c r="M8" s="22">
        <f t="shared" si="0"/>
        <v>15221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>
        <v>15</v>
      </c>
      <c r="AT8" s="24">
        <v>0</v>
      </c>
      <c r="AU8" s="26">
        <f t="shared" si="10"/>
        <v>7610.5</v>
      </c>
      <c r="AV8" s="26">
        <f t="shared" si="1"/>
        <v>0</v>
      </c>
      <c r="AW8" s="26">
        <f t="shared" si="2"/>
        <v>0</v>
      </c>
      <c r="AX8" s="26">
        <f t="shared" si="3"/>
        <v>0</v>
      </c>
      <c r="AY8" s="22">
        <v>0</v>
      </c>
      <c r="AZ8" s="26">
        <f t="shared" si="4"/>
        <v>7610.5</v>
      </c>
      <c r="BA8" s="26">
        <f t="shared" si="5"/>
        <v>57.078749999999999</v>
      </c>
      <c r="BB8" s="26">
        <f t="shared" si="6"/>
        <v>913.26</v>
      </c>
      <c r="BC8" s="26">
        <f t="shared" si="7"/>
        <v>15.221000000000002</v>
      </c>
      <c r="BD8" s="26">
        <f t="shared" si="8"/>
        <v>985.55975000000001</v>
      </c>
      <c r="BE8" s="26">
        <f t="shared" si="9"/>
        <v>6624.9402499999997</v>
      </c>
      <c r="BF8" s="26"/>
    </row>
    <row r="9" spans="1:58" x14ac:dyDescent="0.3">
      <c r="A9" s="22">
        <v>6</v>
      </c>
      <c r="B9" s="23"/>
      <c r="C9" s="39" t="s">
        <v>37</v>
      </c>
      <c r="D9" s="30" t="s">
        <v>44</v>
      </c>
      <c r="E9" s="30"/>
      <c r="F9" s="40" t="s">
        <v>46</v>
      </c>
      <c r="G9" s="40" t="s">
        <v>51</v>
      </c>
      <c r="H9" s="39">
        <v>1328727855</v>
      </c>
      <c r="I9" s="34"/>
      <c r="J9" s="22">
        <v>15221</v>
      </c>
      <c r="K9" s="25">
        <v>0</v>
      </c>
      <c r="L9" s="25">
        <v>0</v>
      </c>
      <c r="M9" s="22">
        <f t="shared" si="0"/>
        <v>15221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16">
        <v>13</v>
      </c>
      <c r="AT9" s="24">
        <v>0</v>
      </c>
      <c r="AU9" s="26">
        <f t="shared" si="10"/>
        <v>6595.7666666666664</v>
      </c>
      <c r="AV9" s="26">
        <f t="shared" si="1"/>
        <v>0</v>
      </c>
      <c r="AW9" s="26">
        <f t="shared" si="2"/>
        <v>0</v>
      </c>
      <c r="AX9" s="26">
        <f t="shared" si="3"/>
        <v>0</v>
      </c>
      <c r="AY9" s="22">
        <v>0</v>
      </c>
      <c r="AZ9" s="26">
        <f t="shared" si="4"/>
        <v>6595.7666666666664</v>
      </c>
      <c r="BA9" s="26">
        <f t="shared" si="5"/>
        <v>49.468249999999998</v>
      </c>
      <c r="BB9" s="26">
        <f t="shared" si="6"/>
        <v>791.49199999999996</v>
      </c>
      <c r="BC9" s="26">
        <f t="shared" si="7"/>
        <v>13.191533333333334</v>
      </c>
      <c r="BD9" s="26">
        <f t="shared" si="8"/>
        <v>854.15178333333336</v>
      </c>
      <c r="BE9" s="26">
        <f t="shared" si="9"/>
        <v>5741.6148833333327</v>
      </c>
      <c r="BF9" s="26"/>
    </row>
    <row r="10" spans="1:58" x14ac:dyDescent="0.3">
      <c r="A10" s="22">
        <v>7</v>
      </c>
      <c r="B10" s="23"/>
      <c r="C10" s="39" t="s">
        <v>38</v>
      </c>
      <c r="D10" s="35" t="s">
        <v>45</v>
      </c>
      <c r="E10" s="35"/>
      <c r="F10" s="40" t="s">
        <v>46</v>
      </c>
      <c r="G10" s="40" t="s">
        <v>52</v>
      </c>
      <c r="H10" s="39">
        <v>1328727856</v>
      </c>
      <c r="I10" s="36"/>
      <c r="J10" s="22">
        <v>15221</v>
      </c>
      <c r="K10" s="25">
        <v>0</v>
      </c>
      <c r="L10" s="25">
        <v>0</v>
      </c>
      <c r="M10" s="22">
        <f t="shared" si="0"/>
        <v>15221</v>
      </c>
      <c r="N10" s="24"/>
      <c r="O10" s="24"/>
      <c r="P10" s="27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16">
        <v>12</v>
      </c>
      <c r="AT10" s="24">
        <v>0</v>
      </c>
      <c r="AU10" s="26">
        <f t="shared" si="10"/>
        <v>6088.4</v>
      </c>
      <c r="AV10" s="26">
        <f t="shared" si="1"/>
        <v>0</v>
      </c>
      <c r="AW10" s="26">
        <f t="shared" si="2"/>
        <v>0</v>
      </c>
      <c r="AX10" s="26">
        <f t="shared" si="3"/>
        <v>0</v>
      </c>
      <c r="AY10" s="22">
        <v>0</v>
      </c>
      <c r="AZ10" s="26">
        <f t="shared" si="4"/>
        <v>6088.4</v>
      </c>
      <c r="BA10" s="26">
        <f t="shared" si="5"/>
        <v>45.66299999999999</v>
      </c>
      <c r="BB10" s="26">
        <f t="shared" si="6"/>
        <v>730.60799999999983</v>
      </c>
      <c r="BC10" s="26">
        <f t="shared" si="7"/>
        <v>12.1768</v>
      </c>
      <c r="BD10" s="26">
        <f t="shared" si="8"/>
        <v>788.4477999999998</v>
      </c>
      <c r="BE10" s="26">
        <f t="shared" si="9"/>
        <v>5299.9521999999997</v>
      </c>
      <c r="BF10" s="26"/>
    </row>
    <row r="11" spans="1:58" ht="15" customHeight="1" x14ac:dyDescent="0.3">
      <c r="A11" s="22"/>
      <c r="B11" s="28"/>
      <c r="C11" s="29" t="s">
        <v>0</v>
      </c>
      <c r="D11" s="29"/>
      <c r="E11" s="25"/>
      <c r="F11" s="25"/>
      <c r="G11" s="25"/>
      <c r="H11" s="25"/>
      <c r="I11" s="25"/>
      <c r="J11" s="31">
        <f t="shared" ref="J11:BE11" si="11">SUM(J4:J10)</f>
        <v>106547</v>
      </c>
      <c r="K11" s="31">
        <f t="shared" si="11"/>
        <v>0</v>
      </c>
      <c r="L11" s="31">
        <f t="shared" si="11"/>
        <v>0</v>
      </c>
      <c r="M11" s="31">
        <f t="shared" si="11"/>
        <v>106547</v>
      </c>
      <c r="N11" s="31">
        <f t="shared" si="11"/>
        <v>0</v>
      </c>
      <c r="O11" s="31">
        <f t="shared" si="11"/>
        <v>0</v>
      </c>
      <c r="P11" s="31">
        <f t="shared" si="11"/>
        <v>0</v>
      </c>
      <c r="Q11" s="31">
        <f t="shared" si="11"/>
        <v>0</v>
      </c>
      <c r="R11" s="31">
        <f t="shared" si="11"/>
        <v>0</v>
      </c>
      <c r="S11" s="31">
        <f t="shared" si="11"/>
        <v>0</v>
      </c>
      <c r="T11" s="31">
        <f t="shared" si="11"/>
        <v>0</v>
      </c>
      <c r="U11" s="31">
        <f t="shared" si="11"/>
        <v>0</v>
      </c>
      <c r="V11" s="31">
        <f t="shared" si="11"/>
        <v>0</v>
      </c>
      <c r="W11" s="31">
        <f t="shared" si="11"/>
        <v>0</v>
      </c>
      <c r="X11" s="31">
        <f t="shared" si="11"/>
        <v>0</v>
      </c>
      <c r="Y11" s="31">
        <f t="shared" si="11"/>
        <v>0</v>
      </c>
      <c r="Z11" s="31">
        <f t="shared" si="11"/>
        <v>0</v>
      </c>
      <c r="AA11" s="31">
        <f t="shared" si="11"/>
        <v>0</v>
      </c>
      <c r="AB11" s="31">
        <f t="shared" si="11"/>
        <v>0</v>
      </c>
      <c r="AC11" s="31">
        <f t="shared" si="11"/>
        <v>0</v>
      </c>
      <c r="AD11" s="31">
        <f t="shared" si="11"/>
        <v>0</v>
      </c>
      <c r="AE11" s="31">
        <f t="shared" si="11"/>
        <v>0</v>
      </c>
      <c r="AF11" s="31">
        <f t="shared" si="11"/>
        <v>0</v>
      </c>
      <c r="AG11" s="31">
        <f t="shared" si="11"/>
        <v>0</v>
      </c>
      <c r="AH11" s="31">
        <f t="shared" si="11"/>
        <v>0</v>
      </c>
      <c r="AI11" s="31">
        <f t="shared" si="11"/>
        <v>0</v>
      </c>
      <c r="AJ11" s="31">
        <f t="shared" si="11"/>
        <v>0</v>
      </c>
      <c r="AK11" s="31">
        <f t="shared" si="11"/>
        <v>0</v>
      </c>
      <c r="AL11" s="31">
        <f t="shared" si="11"/>
        <v>0</v>
      </c>
      <c r="AM11" s="31">
        <f t="shared" si="11"/>
        <v>0</v>
      </c>
      <c r="AN11" s="31">
        <f t="shared" si="11"/>
        <v>0</v>
      </c>
      <c r="AO11" s="31">
        <f t="shared" si="11"/>
        <v>0</v>
      </c>
      <c r="AP11" s="31">
        <f t="shared" si="11"/>
        <v>0</v>
      </c>
      <c r="AQ11" s="31">
        <f t="shared" si="11"/>
        <v>0</v>
      </c>
      <c r="AR11" s="31">
        <f t="shared" si="11"/>
        <v>0</v>
      </c>
      <c r="AS11" s="31">
        <f t="shared" si="11"/>
        <v>96</v>
      </c>
      <c r="AT11" s="31">
        <f t="shared" si="11"/>
        <v>0</v>
      </c>
      <c r="AU11" s="31">
        <f t="shared" si="11"/>
        <v>48707.200000000004</v>
      </c>
      <c r="AV11" s="31">
        <f t="shared" si="11"/>
        <v>0</v>
      </c>
      <c r="AW11" s="31">
        <f t="shared" si="11"/>
        <v>0</v>
      </c>
      <c r="AX11" s="31">
        <f t="shared" si="11"/>
        <v>0</v>
      </c>
      <c r="AY11" s="31">
        <f t="shared" si="11"/>
        <v>0</v>
      </c>
      <c r="AZ11" s="31">
        <f t="shared" si="11"/>
        <v>48707.200000000004</v>
      </c>
      <c r="BA11" s="31">
        <f t="shared" si="11"/>
        <v>365.30399999999997</v>
      </c>
      <c r="BB11" s="31">
        <f t="shared" si="11"/>
        <v>5844.8639999999996</v>
      </c>
      <c r="BC11" s="31">
        <f t="shared" si="11"/>
        <v>97.414400000000015</v>
      </c>
      <c r="BD11" s="31">
        <f t="shared" si="11"/>
        <v>6307.5824000000002</v>
      </c>
      <c r="BE11" s="31">
        <f t="shared" si="11"/>
        <v>42399.617600000005</v>
      </c>
      <c r="BF11" s="31"/>
    </row>
    <row r="14" spans="1:58" x14ac:dyDescent="0.3">
      <c r="F14" s="46" t="s">
        <v>56</v>
      </c>
      <c r="G14" s="4">
        <v>365</v>
      </c>
    </row>
    <row r="15" spans="1:58" x14ac:dyDescent="0.3">
      <c r="F15" s="46" t="s">
        <v>57</v>
      </c>
      <c r="G15" s="37">
        <f>48707*3.25%</f>
        <v>1582.9775</v>
      </c>
    </row>
    <row r="17" spans="6:7" x14ac:dyDescent="0.3">
      <c r="F17" s="4" t="s">
        <v>0</v>
      </c>
      <c r="G17" s="37">
        <f>SUM(G14:G16)</f>
        <v>1947.9775</v>
      </c>
    </row>
  </sheetData>
  <sortState xmlns:xlrd2="http://schemas.microsoft.com/office/spreadsheetml/2017/richdata2" ref="A4:BE10">
    <sortCondition ref="A4:A10"/>
  </sortState>
  <mergeCells count="4">
    <mergeCell ref="A1:C1"/>
    <mergeCell ref="AU2:AY2"/>
    <mergeCell ref="BA2:BD2"/>
    <mergeCell ref="F1:H1"/>
  </mergeCells>
  <hyperlinks>
    <hyperlink ref="F14" r:id="rId1" xr:uid="{C6B69663-0CE5-4412-92D8-5DFE81BDD66C}"/>
    <hyperlink ref="F15" r:id="rId2" xr:uid="{846159D1-6205-4C32-B816-6902009CB2C9}"/>
  </hyperlinks>
  <pageMargins left="0.16" right="0.16" top="0.51" bottom="0.21" header="0.23" footer="0.16"/>
  <pageSetup paperSize="9" scale="4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D6C8-2BC6-44BF-9F9F-A035FF55A058}">
  <dimension ref="A1:BF17"/>
  <sheetViews>
    <sheetView topLeftCell="C1" workbookViewId="0">
      <selection activeCell="F1" sqref="F1:H1"/>
    </sheetView>
  </sheetViews>
  <sheetFormatPr defaultColWidth="9.109375" defaultRowHeight="14.4" x14ac:dyDescent="0.3"/>
  <cols>
    <col min="1" max="1" width="5.6640625" style="1" customWidth="1"/>
    <col min="2" max="2" width="6.5546875" style="2" customWidth="1"/>
    <col min="3" max="3" width="23.109375" style="3" bestFit="1" customWidth="1"/>
    <col min="4" max="4" width="23.33203125" style="3" bestFit="1" customWidth="1"/>
    <col min="5" max="5" width="3.6640625" style="4" customWidth="1"/>
    <col min="6" max="7" width="11.109375" style="4" bestFit="1" customWidth="1"/>
    <col min="8" max="8" width="14" style="4" bestFit="1" customWidth="1"/>
    <col min="9" max="9" width="14" style="4" customWidth="1"/>
    <col min="10" max="10" width="10.44140625" style="4" customWidth="1"/>
    <col min="11" max="11" width="12.44140625" style="4" bestFit="1" customWidth="1"/>
    <col min="12" max="12" width="7.44140625" style="4" customWidth="1"/>
    <col min="13" max="13" width="7.109375" style="4" customWidth="1"/>
    <col min="14" max="15" width="5.33203125" style="5" hidden="1" customWidth="1"/>
    <col min="16" max="16" width="5.33203125" style="6" hidden="1" customWidth="1"/>
    <col min="17" max="44" width="5.33203125" style="5" hidden="1" customWidth="1"/>
    <col min="45" max="45" width="7.109375" style="5" customWidth="1"/>
    <col min="46" max="46" width="6.44140625" style="5" customWidth="1"/>
    <col min="47" max="47" width="10.44140625" style="5" customWidth="1"/>
    <col min="48" max="48" width="6.88671875" style="5" bestFit="1" customWidth="1"/>
    <col min="49" max="49" width="6.6640625" style="5" customWidth="1"/>
    <col min="50" max="50" width="7.88671875" style="5" bestFit="1" customWidth="1"/>
    <col min="51" max="51" width="10.44140625" style="4" customWidth="1"/>
    <col min="52" max="52" width="10.109375" style="5" bestFit="1" customWidth="1"/>
    <col min="53" max="53" width="8.109375" style="5" customWidth="1"/>
    <col min="54" max="54" width="8" style="5" bestFit="1" customWidth="1"/>
    <col min="55" max="55" width="5.88671875" style="5" bestFit="1" customWidth="1"/>
    <col min="56" max="56" width="7.44140625" style="5" customWidth="1"/>
    <col min="57" max="58" width="8.6640625" style="5" customWidth="1"/>
    <col min="59" max="16384" width="9.109375" style="5"/>
  </cols>
  <sheetData>
    <row r="1" spans="1:58" s="7" customFormat="1" ht="27" customHeight="1" x14ac:dyDescent="0.3">
      <c r="A1" s="42" t="s">
        <v>31</v>
      </c>
      <c r="B1" s="42"/>
      <c r="C1" s="42"/>
      <c r="D1" s="8"/>
      <c r="E1" s="9"/>
      <c r="F1" s="47" t="s">
        <v>58</v>
      </c>
      <c r="G1" s="47"/>
      <c r="H1" s="47"/>
      <c r="I1" s="9"/>
      <c r="J1" s="10" t="s">
        <v>30</v>
      </c>
      <c r="K1" s="11">
        <v>46143</v>
      </c>
      <c r="L1" s="11"/>
      <c r="M1" s="9"/>
      <c r="P1" s="12"/>
      <c r="AY1" s="10"/>
    </row>
    <row r="2" spans="1:58" ht="18" x14ac:dyDescent="0.3">
      <c r="A2" s="13"/>
      <c r="J2" s="14"/>
      <c r="K2" s="15"/>
      <c r="L2" s="15"/>
      <c r="AU2" s="43" t="s">
        <v>29</v>
      </c>
      <c r="AV2" s="44"/>
      <c r="AW2" s="44"/>
      <c r="AX2" s="44"/>
      <c r="AY2" s="45"/>
      <c r="BA2" s="43" t="s">
        <v>28</v>
      </c>
      <c r="BB2" s="44"/>
      <c r="BC2" s="44"/>
      <c r="BD2" s="45"/>
    </row>
    <row r="3" spans="1:58" s="17" customFormat="1" ht="45" customHeight="1" x14ac:dyDescent="0.3">
      <c r="A3" s="18" t="s">
        <v>27</v>
      </c>
      <c r="B3" s="19" t="s">
        <v>26</v>
      </c>
      <c r="C3" s="18" t="s">
        <v>25</v>
      </c>
      <c r="D3" s="18" t="s">
        <v>24</v>
      </c>
      <c r="E3" s="38" t="s">
        <v>23</v>
      </c>
      <c r="F3" s="19" t="s">
        <v>22</v>
      </c>
      <c r="G3" s="19" t="s">
        <v>21</v>
      </c>
      <c r="H3" s="19" t="s">
        <v>20</v>
      </c>
      <c r="I3" s="19" t="s">
        <v>19</v>
      </c>
      <c r="J3" s="19" t="s">
        <v>18</v>
      </c>
      <c r="K3" s="19" t="s">
        <v>17</v>
      </c>
      <c r="L3" s="19" t="s">
        <v>16</v>
      </c>
      <c r="M3" s="19" t="s">
        <v>15</v>
      </c>
      <c r="N3" s="20">
        <v>1</v>
      </c>
      <c r="O3" s="20">
        <v>2</v>
      </c>
      <c r="P3" s="21">
        <v>3</v>
      </c>
      <c r="Q3" s="20">
        <v>4</v>
      </c>
      <c r="R3" s="20">
        <v>5</v>
      </c>
      <c r="S3" s="20">
        <v>6</v>
      </c>
      <c r="T3" s="20">
        <v>7</v>
      </c>
      <c r="U3" s="20">
        <v>8</v>
      </c>
      <c r="V3" s="20">
        <v>9</v>
      </c>
      <c r="W3" s="20">
        <v>10</v>
      </c>
      <c r="X3" s="20">
        <v>11</v>
      </c>
      <c r="Y3" s="20">
        <v>12</v>
      </c>
      <c r="Z3" s="20">
        <v>13</v>
      </c>
      <c r="AA3" s="20">
        <v>14</v>
      </c>
      <c r="AB3" s="20">
        <v>15</v>
      </c>
      <c r="AC3" s="20">
        <v>16</v>
      </c>
      <c r="AD3" s="20">
        <v>17</v>
      </c>
      <c r="AE3" s="20">
        <v>18</v>
      </c>
      <c r="AF3" s="20">
        <v>19</v>
      </c>
      <c r="AG3" s="20">
        <v>20</v>
      </c>
      <c r="AH3" s="20">
        <v>21</v>
      </c>
      <c r="AI3" s="20">
        <v>22</v>
      </c>
      <c r="AJ3" s="20">
        <v>23</v>
      </c>
      <c r="AK3" s="20">
        <v>24</v>
      </c>
      <c r="AL3" s="20">
        <v>25</v>
      </c>
      <c r="AM3" s="20">
        <v>26</v>
      </c>
      <c r="AN3" s="20">
        <v>27</v>
      </c>
      <c r="AO3" s="20">
        <v>28</v>
      </c>
      <c r="AP3" s="20">
        <v>29</v>
      </c>
      <c r="AQ3" s="20">
        <v>30</v>
      </c>
      <c r="AR3" s="20">
        <v>31</v>
      </c>
      <c r="AS3" s="20" t="s">
        <v>14</v>
      </c>
      <c r="AT3" s="20" t="s">
        <v>13</v>
      </c>
      <c r="AU3" s="20" t="s">
        <v>12</v>
      </c>
      <c r="AV3" s="20" t="s">
        <v>11</v>
      </c>
      <c r="AW3" s="20" t="s">
        <v>10</v>
      </c>
      <c r="AX3" s="20" t="s">
        <v>9</v>
      </c>
      <c r="AY3" s="19" t="s">
        <v>8</v>
      </c>
      <c r="AZ3" s="20" t="s">
        <v>7</v>
      </c>
      <c r="BA3" s="20" t="s">
        <v>6</v>
      </c>
      <c r="BB3" s="20" t="s">
        <v>5</v>
      </c>
      <c r="BC3" s="20" t="s">
        <v>4</v>
      </c>
      <c r="BD3" s="20" t="s">
        <v>3</v>
      </c>
      <c r="BE3" s="20" t="s">
        <v>2</v>
      </c>
      <c r="BF3" s="20" t="s">
        <v>1</v>
      </c>
    </row>
    <row r="4" spans="1:58" ht="15" customHeight="1" x14ac:dyDescent="0.3">
      <c r="A4" s="22">
        <v>1</v>
      </c>
      <c r="B4" s="23"/>
      <c r="C4" s="41" t="s">
        <v>34</v>
      </c>
      <c r="D4" s="35" t="s">
        <v>39</v>
      </c>
      <c r="E4" s="35"/>
      <c r="F4" s="40" t="s">
        <v>54</v>
      </c>
      <c r="G4" s="40" t="s">
        <v>46</v>
      </c>
      <c r="H4" s="39" t="s">
        <v>55</v>
      </c>
      <c r="I4" s="36"/>
      <c r="J4" s="22">
        <v>15221</v>
      </c>
      <c r="K4" s="25">
        <v>0</v>
      </c>
      <c r="L4" s="25">
        <v>0</v>
      </c>
      <c r="M4" s="22">
        <f t="shared" ref="M4:M10" si="0">SUM(J4:L4)</f>
        <v>15221</v>
      </c>
      <c r="N4" s="24"/>
      <c r="O4" s="24"/>
      <c r="P4" s="27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16">
        <v>19</v>
      </c>
      <c r="AT4" s="24">
        <v>0</v>
      </c>
      <c r="AU4" s="26">
        <f>J4/31*AS4</f>
        <v>9329</v>
      </c>
      <c r="AV4" s="26">
        <f t="shared" ref="AV4:AV10" si="1">K4/31*AS4</f>
        <v>0</v>
      </c>
      <c r="AW4" s="26">
        <f t="shared" ref="AW4:AW10" si="2">L4/31*AS4</f>
        <v>0</v>
      </c>
      <c r="AX4" s="26">
        <f t="shared" ref="AX4:AX10" si="3">M4/31/8*AT4</f>
        <v>0</v>
      </c>
      <c r="AY4" s="22">
        <v>0</v>
      </c>
      <c r="AZ4" s="26">
        <f t="shared" ref="AZ4:AZ10" si="4">AY4+AX4+AW4+AU4+AV4</f>
        <v>9329</v>
      </c>
      <c r="BA4" s="26">
        <f t="shared" ref="BA4:BA10" si="5">AZ4*0.75/100</f>
        <v>69.967500000000001</v>
      </c>
      <c r="BB4" s="26">
        <f t="shared" ref="BB4:BB10" si="6">AU4*12/100</f>
        <v>1119.48</v>
      </c>
      <c r="BC4" s="26">
        <f t="shared" ref="BC4:BC10" si="7">(AZ4-AX4)*0.2/100</f>
        <v>18.658000000000001</v>
      </c>
      <c r="BD4" s="26">
        <f t="shared" ref="BD4:BD10" si="8">BC4+BB4+BA4</f>
        <v>1208.1054999999999</v>
      </c>
      <c r="BE4" s="26">
        <f t="shared" ref="BE4:BE10" si="9">AZ4-BD4</f>
        <v>8120.8945000000003</v>
      </c>
      <c r="BF4" s="26"/>
    </row>
    <row r="5" spans="1:58" ht="15" customHeight="1" x14ac:dyDescent="0.3">
      <c r="A5" s="22">
        <v>2</v>
      </c>
      <c r="B5" s="23"/>
      <c r="C5" s="41" t="s">
        <v>35</v>
      </c>
      <c r="D5" s="24" t="s">
        <v>40</v>
      </c>
      <c r="E5" s="32"/>
      <c r="F5" s="40" t="s">
        <v>54</v>
      </c>
      <c r="G5" s="40" t="s">
        <v>47</v>
      </c>
      <c r="H5" s="39">
        <v>1328727853</v>
      </c>
      <c r="I5" s="26"/>
      <c r="J5" s="22">
        <v>15221</v>
      </c>
      <c r="K5" s="25">
        <v>0</v>
      </c>
      <c r="L5" s="25">
        <v>0</v>
      </c>
      <c r="M5" s="22">
        <f t="shared" si="0"/>
        <v>15221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>
        <v>18</v>
      </c>
      <c r="AT5" s="24">
        <v>0</v>
      </c>
      <c r="AU5" s="26">
        <f t="shared" ref="AU5:AU10" si="10">J5/31*AS5</f>
        <v>8838</v>
      </c>
      <c r="AV5" s="26">
        <f t="shared" si="1"/>
        <v>0</v>
      </c>
      <c r="AW5" s="26">
        <f t="shared" si="2"/>
        <v>0</v>
      </c>
      <c r="AX5" s="26">
        <f t="shared" si="3"/>
        <v>0</v>
      </c>
      <c r="AY5" s="22">
        <v>0</v>
      </c>
      <c r="AZ5" s="26">
        <f t="shared" si="4"/>
        <v>8838</v>
      </c>
      <c r="BA5" s="26">
        <f t="shared" si="5"/>
        <v>66.284999999999997</v>
      </c>
      <c r="BB5" s="26">
        <f t="shared" si="6"/>
        <v>1060.56</v>
      </c>
      <c r="BC5" s="26">
        <f t="shared" si="7"/>
        <v>17.676000000000002</v>
      </c>
      <c r="BD5" s="26">
        <f t="shared" si="8"/>
        <v>1144.521</v>
      </c>
      <c r="BE5" s="26">
        <f t="shared" si="9"/>
        <v>7693.4790000000003</v>
      </c>
      <c r="BF5" s="26"/>
    </row>
    <row r="6" spans="1:58" ht="15" customHeight="1" x14ac:dyDescent="0.3">
      <c r="A6" s="22">
        <v>3</v>
      </c>
      <c r="B6" s="23"/>
      <c r="C6" s="39" t="s">
        <v>32</v>
      </c>
      <c r="D6" s="35" t="s">
        <v>41</v>
      </c>
      <c r="E6" s="35"/>
      <c r="F6" s="40" t="s">
        <v>53</v>
      </c>
      <c r="G6" s="40" t="s">
        <v>48</v>
      </c>
      <c r="H6" s="39">
        <v>3911896085</v>
      </c>
      <c r="I6" s="36"/>
      <c r="J6" s="22">
        <v>15221</v>
      </c>
      <c r="K6" s="25">
        <v>0</v>
      </c>
      <c r="L6" s="25">
        <v>0</v>
      </c>
      <c r="M6" s="22">
        <f t="shared" si="0"/>
        <v>15221</v>
      </c>
      <c r="N6" s="24"/>
      <c r="O6" s="24"/>
      <c r="P6" s="27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16">
        <v>14</v>
      </c>
      <c r="AT6" s="24">
        <v>0</v>
      </c>
      <c r="AU6" s="26">
        <f t="shared" si="10"/>
        <v>6874</v>
      </c>
      <c r="AV6" s="26">
        <f t="shared" si="1"/>
        <v>0</v>
      </c>
      <c r="AW6" s="26">
        <f t="shared" si="2"/>
        <v>0</v>
      </c>
      <c r="AX6" s="26">
        <f t="shared" si="3"/>
        <v>0</v>
      </c>
      <c r="AY6" s="22">
        <v>0</v>
      </c>
      <c r="AZ6" s="26">
        <f t="shared" si="4"/>
        <v>6874</v>
      </c>
      <c r="BA6" s="26">
        <f t="shared" si="5"/>
        <v>51.555</v>
      </c>
      <c r="BB6" s="26">
        <f t="shared" si="6"/>
        <v>824.88</v>
      </c>
      <c r="BC6" s="26">
        <f t="shared" si="7"/>
        <v>13.748000000000001</v>
      </c>
      <c r="BD6" s="26">
        <f t="shared" si="8"/>
        <v>890.18299999999999</v>
      </c>
      <c r="BE6" s="26">
        <f t="shared" si="9"/>
        <v>5983.817</v>
      </c>
      <c r="BF6" s="26"/>
    </row>
    <row r="7" spans="1:58" x14ac:dyDescent="0.3">
      <c r="A7" s="22">
        <v>4</v>
      </c>
      <c r="B7" s="23"/>
      <c r="C7" s="39" t="s">
        <v>36</v>
      </c>
      <c r="D7" s="24" t="s">
        <v>42</v>
      </c>
      <c r="E7" s="25"/>
      <c r="F7" s="40" t="s">
        <v>46</v>
      </c>
      <c r="G7" s="40" t="s">
        <v>49</v>
      </c>
      <c r="H7" s="39">
        <v>1328727854</v>
      </c>
      <c r="I7" s="26"/>
      <c r="J7" s="22">
        <v>15221</v>
      </c>
      <c r="K7" s="25">
        <v>0</v>
      </c>
      <c r="L7" s="25">
        <v>0</v>
      </c>
      <c r="M7" s="22">
        <f t="shared" si="0"/>
        <v>15221</v>
      </c>
      <c r="N7" s="24"/>
      <c r="O7" s="24"/>
      <c r="P7" s="27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16">
        <v>16</v>
      </c>
      <c r="AT7" s="24">
        <v>0</v>
      </c>
      <c r="AU7" s="26">
        <f t="shared" si="10"/>
        <v>7856</v>
      </c>
      <c r="AV7" s="26">
        <f t="shared" si="1"/>
        <v>0</v>
      </c>
      <c r="AW7" s="26">
        <f t="shared" si="2"/>
        <v>0</v>
      </c>
      <c r="AX7" s="26">
        <f t="shared" si="3"/>
        <v>0</v>
      </c>
      <c r="AY7" s="22">
        <v>0</v>
      </c>
      <c r="AZ7" s="26">
        <f t="shared" si="4"/>
        <v>7856</v>
      </c>
      <c r="BA7" s="26">
        <f t="shared" si="5"/>
        <v>58.92</v>
      </c>
      <c r="BB7" s="26">
        <f t="shared" si="6"/>
        <v>942.72</v>
      </c>
      <c r="BC7" s="26">
        <f t="shared" si="7"/>
        <v>15.712</v>
      </c>
      <c r="BD7" s="26">
        <f t="shared" si="8"/>
        <v>1017.352</v>
      </c>
      <c r="BE7" s="26">
        <f t="shared" si="9"/>
        <v>6838.6480000000001</v>
      </c>
      <c r="BF7" s="26"/>
    </row>
    <row r="8" spans="1:58" ht="15" x14ac:dyDescent="0.35">
      <c r="A8" s="22">
        <v>5</v>
      </c>
      <c r="B8" s="23"/>
      <c r="C8" s="39" t="s">
        <v>33</v>
      </c>
      <c r="D8" s="33" t="s">
        <v>43</v>
      </c>
      <c r="E8" s="25"/>
      <c r="F8" s="40" t="s">
        <v>53</v>
      </c>
      <c r="G8" s="40" t="s">
        <v>50</v>
      </c>
      <c r="H8" s="39">
        <v>1327477540</v>
      </c>
      <c r="I8" s="26"/>
      <c r="J8" s="22">
        <v>15221</v>
      </c>
      <c r="K8" s="25">
        <v>0</v>
      </c>
      <c r="L8" s="25">
        <v>0</v>
      </c>
      <c r="M8" s="22">
        <f t="shared" si="0"/>
        <v>15221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>
        <v>15</v>
      </c>
      <c r="AT8" s="24">
        <v>0</v>
      </c>
      <c r="AU8" s="26">
        <f t="shared" si="10"/>
        <v>7365</v>
      </c>
      <c r="AV8" s="26">
        <f t="shared" si="1"/>
        <v>0</v>
      </c>
      <c r="AW8" s="26">
        <f t="shared" si="2"/>
        <v>0</v>
      </c>
      <c r="AX8" s="26">
        <f t="shared" si="3"/>
        <v>0</v>
      </c>
      <c r="AY8" s="22">
        <v>0</v>
      </c>
      <c r="AZ8" s="26">
        <f t="shared" si="4"/>
        <v>7365</v>
      </c>
      <c r="BA8" s="26">
        <f t="shared" si="5"/>
        <v>55.237499999999997</v>
      </c>
      <c r="BB8" s="26">
        <f t="shared" si="6"/>
        <v>883.8</v>
      </c>
      <c r="BC8" s="26">
        <f t="shared" si="7"/>
        <v>14.73</v>
      </c>
      <c r="BD8" s="26">
        <f t="shared" si="8"/>
        <v>953.76749999999993</v>
      </c>
      <c r="BE8" s="26">
        <f t="shared" si="9"/>
        <v>6411.2325000000001</v>
      </c>
      <c r="BF8" s="26"/>
    </row>
    <row r="9" spans="1:58" x14ac:dyDescent="0.3">
      <c r="A9" s="22">
        <v>6</v>
      </c>
      <c r="B9" s="23"/>
      <c r="C9" s="39" t="s">
        <v>37</v>
      </c>
      <c r="D9" s="30" t="s">
        <v>44</v>
      </c>
      <c r="E9" s="30"/>
      <c r="F9" s="40" t="s">
        <v>46</v>
      </c>
      <c r="G9" s="40" t="s">
        <v>51</v>
      </c>
      <c r="H9" s="39">
        <v>1328727855</v>
      </c>
      <c r="I9" s="34"/>
      <c r="J9" s="22">
        <v>15221</v>
      </c>
      <c r="K9" s="25">
        <v>0</v>
      </c>
      <c r="L9" s="25">
        <v>0</v>
      </c>
      <c r="M9" s="22">
        <f t="shared" si="0"/>
        <v>15221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16">
        <v>17</v>
      </c>
      <c r="AT9" s="24">
        <v>0</v>
      </c>
      <c r="AU9" s="26">
        <f t="shared" si="10"/>
        <v>8347</v>
      </c>
      <c r="AV9" s="26">
        <f t="shared" si="1"/>
        <v>0</v>
      </c>
      <c r="AW9" s="26">
        <f t="shared" si="2"/>
        <v>0</v>
      </c>
      <c r="AX9" s="26">
        <f t="shared" si="3"/>
        <v>0</v>
      </c>
      <c r="AY9" s="22">
        <v>0</v>
      </c>
      <c r="AZ9" s="26">
        <f t="shared" si="4"/>
        <v>8347</v>
      </c>
      <c r="BA9" s="26">
        <f t="shared" si="5"/>
        <v>62.602499999999999</v>
      </c>
      <c r="BB9" s="26">
        <f t="shared" si="6"/>
        <v>1001.64</v>
      </c>
      <c r="BC9" s="26">
        <f t="shared" si="7"/>
        <v>16.694000000000003</v>
      </c>
      <c r="BD9" s="26">
        <f t="shared" si="8"/>
        <v>1080.9365</v>
      </c>
      <c r="BE9" s="26">
        <f t="shared" si="9"/>
        <v>7266.0635000000002</v>
      </c>
      <c r="BF9" s="26"/>
    </row>
    <row r="10" spans="1:58" x14ac:dyDescent="0.3">
      <c r="A10" s="22">
        <v>7</v>
      </c>
      <c r="B10" s="23"/>
      <c r="C10" s="39" t="s">
        <v>38</v>
      </c>
      <c r="D10" s="35" t="s">
        <v>45</v>
      </c>
      <c r="E10" s="35"/>
      <c r="F10" s="40" t="s">
        <v>46</v>
      </c>
      <c r="G10" s="40" t="s">
        <v>52</v>
      </c>
      <c r="H10" s="39">
        <v>1328727856</v>
      </c>
      <c r="I10" s="36"/>
      <c r="J10" s="22">
        <v>15221</v>
      </c>
      <c r="K10" s="25">
        <v>0</v>
      </c>
      <c r="L10" s="25">
        <v>0</v>
      </c>
      <c r="M10" s="22">
        <f t="shared" si="0"/>
        <v>15221</v>
      </c>
      <c r="N10" s="24"/>
      <c r="O10" s="24"/>
      <c r="P10" s="27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16">
        <v>20</v>
      </c>
      <c r="AT10" s="24">
        <v>0</v>
      </c>
      <c r="AU10" s="26">
        <f t="shared" si="10"/>
        <v>9820</v>
      </c>
      <c r="AV10" s="26">
        <f t="shared" si="1"/>
        <v>0</v>
      </c>
      <c r="AW10" s="26">
        <f t="shared" si="2"/>
        <v>0</v>
      </c>
      <c r="AX10" s="26">
        <f t="shared" si="3"/>
        <v>0</v>
      </c>
      <c r="AY10" s="22">
        <v>0</v>
      </c>
      <c r="AZ10" s="26">
        <f t="shared" si="4"/>
        <v>9820</v>
      </c>
      <c r="BA10" s="26">
        <f t="shared" si="5"/>
        <v>73.650000000000006</v>
      </c>
      <c r="BB10" s="26">
        <f t="shared" si="6"/>
        <v>1178.4000000000001</v>
      </c>
      <c r="BC10" s="26">
        <f t="shared" si="7"/>
        <v>19.64</v>
      </c>
      <c r="BD10" s="26">
        <f t="shared" si="8"/>
        <v>1271.6900000000003</v>
      </c>
      <c r="BE10" s="26">
        <f t="shared" si="9"/>
        <v>8548.31</v>
      </c>
      <c r="BF10" s="26"/>
    </row>
    <row r="11" spans="1:58" ht="15" customHeight="1" x14ac:dyDescent="0.3">
      <c r="A11" s="22"/>
      <c r="B11" s="28"/>
      <c r="C11" s="29" t="s">
        <v>0</v>
      </c>
      <c r="D11" s="29"/>
      <c r="E11" s="25"/>
      <c r="F11" s="25"/>
      <c r="G11" s="25"/>
      <c r="H11" s="25"/>
      <c r="I11" s="25"/>
      <c r="J11" s="31">
        <f t="shared" ref="J11:BE11" si="11">SUM(J4:J10)</f>
        <v>106547</v>
      </c>
      <c r="K11" s="31">
        <f t="shared" si="11"/>
        <v>0</v>
      </c>
      <c r="L11" s="31">
        <f t="shared" si="11"/>
        <v>0</v>
      </c>
      <c r="M11" s="31">
        <f t="shared" si="11"/>
        <v>106547</v>
      </c>
      <c r="N11" s="31">
        <f t="shared" si="11"/>
        <v>0</v>
      </c>
      <c r="O11" s="31">
        <f t="shared" si="11"/>
        <v>0</v>
      </c>
      <c r="P11" s="31">
        <f t="shared" si="11"/>
        <v>0</v>
      </c>
      <c r="Q11" s="31">
        <f t="shared" si="11"/>
        <v>0</v>
      </c>
      <c r="R11" s="31">
        <f t="shared" si="11"/>
        <v>0</v>
      </c>
      <c r="S11" s="31">
        <f t="shared" si="11"/>
        <v>0</v>
      </c>
      <c r="T11" s="31">
        <f t="shared" si="11"/>
        <v>0</v>
      </c>
      <c r="U11" s="31">
        <f t="shared" si="11"/>
        <v>0</v>
      </c>
      <c r="V11" s="31">
        <f t="shared" si="11"/>
        <v>0</v>
      </c>
      <c r="W11" s="31">
        <f t="shared" si="11"/>
        <v>0</v>
      </c>
      <c r="X11" s="31">
        <f t="shared" si="11"/>
        <v>0</v>
      </c>
      <c r="Y11" s="31">
        <f t="shared" si="11"/>
        <v>0</v>
      </c>
      <c r="Z11" s="31">
        <f t="shared" si="11"/>
        <v>0</v>
      </c>
      <c r="AA11" s="31">
        <f t="shared" si="11"/>
        <v>0</v>
      </c>
      <c r="AB11" s="31">
        <f t="shared" si="11"/>
        <v>0</v>
      </c>
      <c r="AC11" s="31">
        <f t="shared" si="11"/>
        <v>0</v>
      </c>
      <c r="AD11" s="31">
        <f t="shared" si="11"/>
        <v>0</v>
      </c>
      <c r="AE11" s="31">
        <f t="shared" si="11"/>
        <v>0</v>
      </c>
      <c r="AF11" s="31">
        <f t="shared" si="11"/>
        <v>0</v>
      </c>
      <c r="AG11" s="31">
        <f t="shared" si="11"/>
        <v>0</v>
      </c>
      <c r="AH11" s="31">
        <f t="shared" si="11"/>
        <v>0</v>
      </c>
      <c r="AI11" s="31">
        <f t="shared" si="11"/>
        <v>0</v>
      </c>
      <c r="AJ11" s="31">
        <f t="shared" si="11"/>
        <v>0</v>
      </c>
      <c r="AK11" s="31">
        <f t="shared" si="11"/>
        <v>0</v>
      </c>
      <c r="AL11" s="31">
        <f t="shared" si="11"/>
        <v>0</v>
      </c>
      <c r="AM11" s="31">
        <f t="shared" si="11"/>
        <v>0</v>
      </c>
      <c r="AN11" s="31">
        <f t="shared" si="11"/>
        <v>0</v>
      </c>
      <c r="AO11" s="31">
        <f t="shared" si="11"/>
        <v>0</v>
      </c>
      <c r="AP11" s="31">
        <f t="shared" si="11"/>
        <v>0</v>
      </c>
      <c r="AQ11" s="31">
        <f t="shared" si="11"/>
        <v>0</v>
      </c>
      <c r="AR11" s="31">
        <f t="shared" si="11"/>
        <v>0</v>
      </c>
      <c r="AS11" s="31">
        <f t="shared" si="11"/>
        <v>119</v>
      </c>
      <c r="AT11" s="31">
        <f t="shared" si="11"/>
        <v>0</v>
      </c>
      <c r="AU11" s="31">
        <f t="shared" si="11"/>
        <v>58429</v>
      </c>
      <c r="AV11" s="31">
        <f t="shared" si="11"/>
        <v>0</v>
      </c>
      <c r="AW11" s="31">
        <f t="shared" si="11"/>
        <v>0</v>
      </c>
      <c r="AX11" s="31">
        <f t="shared" si="11"/>
        <v>0</v>
      </c>
      <c r="AY11" s="31">
        <f t="shared" si="11"/>
        <v>0</v>
      </c>
      <c r="AZ11" s="31">
        <f t="shared" si="11"/>
        <v>58429</v>
      </c>
      <c r="BA11" s="31">
        <f t="shared" si="11"/>
        <v>438.21750000000009</v>
      </c>
      <c r="BB11" s="31">
        <f t="shared" si="11"/>
        <v>7011.4800000000014</v>
      </c>
      <c r="BC11" s="31">
        <f t="shared" si="11"/>
        <v>116.85800000000002</v>
      </c>
      <c r="BD11" s="31">
        <f t="shared" si="11"/>
        <v>7566.5555000000004</v>
      </c>
      <c r="BE11" s="31">
        <f t="shared" si="11"/>
        <v>50862.444499999998</v>
      </c>
      <c r="BF11" s="31"/>
    </row>
    <row r="14" spans="1:58" x14ac:dyDescent="0.3">
      <c r="F14" s="46" t="s">
        <v>56</v>
      </c>
      <c r="G14" s="4">
        <v>438</v>
      </c>
    </row>
    <row r="15" spans="1:58" x14ac:dyDescent="0.3">
      <c r="F15" s="46" t="s">
        <v>57</v>
      </c>
      <c r="G15" s="37">
        <f>58429*3.25%</f>
        <v>1898.9425000000001</v>
      </c>
    </row>
    <row r="17" spans="6:7" x14ac:dyDescent="0.3">
      <c r="F17" s="4" t="s">
        <v>0</v>
      </c>
      <c r="G17" s="37">
        <f>SUM(G14:G16)</f>
        <v>2336.9425000000001</v>
      </c>
    </row>
  </sheetData>
  <mergeCells count="4">
    <mergeCell ref="A1:C1"/>
    <mergeCell ref="AU2:AY2"/>
    <mergeCell ref="BA2:BD2"/>
    <mergeCell ref="F1:H1"/>
  </mergeCells>
  <hyperlinks>
    <hyperlink ref="F14" r:id="rId1" xr:uid="{8DA5A9A8-FD14-4AFC-A8F2-D3E338716842}"/>
    <hyperlink ref="F15" r:id="rId2" xr:uid="{16B13F1D-45D7-4C5F-A4CD-5FCC00924D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F22A-966C-46F5-9FBA-16FC63B4D033}">
  <dimension ref="A1:BF17"/>
  <sheetViews>
    <sheetView tabSelected="1" workbookViewId="0">
      <selection activeCell="I14" sqref="I14"/>
    </sheetView>
  </sheetViews>
  <sheetFormatPr defaultColWidth="9.109375" defaultRowHeight="14.4" x14ac:dyDescent="0.3"/>
  <cols>
    <col min="1" max="1" width="5.6640625" style="1" customWidth="1"/>
    <col min="2" max="2" width="6.5546875" style="2" customWidth="1"/>
    <col min="3" max="3" width="23.109375" style="3" bestFit="1" customWidth="1"/>
    <col min="4" max="4" width="23.33203125" style="3" bestFit="1" customWidth="1"/>
    <col min="5" max="5" width="3.6640625" style="4" customWidth="1"/>
    <col min="6" max="7" width="11.109375" style="4" bestFit="1" customWidth="1"/>
    <col min="8" max="8" width="14" style="4" bestFit="1" customWidth="1"/>
    <col min="9" max="9" width="14" style="4" customWidth="1"/>
    <col min="10" max="10" width="10.44140625" style="4" customWidth="1"/>
    <col min="11" max="11" width="12.44140625" style="4" bestFit="1" customWidth="1"/>
    <col min="12" max="12" width="7.44140625" style="4" customWidth="1"/>
    <col min="13" max="13" width="7.109375" style="4" customWidth="1"/>
    <col min="14" max="15" width="5.33203125" style="5" hidden="1" customWidth="1"/>
    <col min="16" max="16" width="5.33203125" style="6" hidden="1" customWidth="1"/>
    <col min="17" max="44" width="5.33203125" style="5" hidden="1" customWidth="1"/>
    <col min="45" max="45" width="7.109375" style="5" customWidth="1"/>
    <col min="46" max="46" width="6.44140625" style="5" customWidth="1"/>
    <col min="47" max="47" width="10.44140625" style="5" customWidth="1"/>
    <col min="48" max="48" width="6.88671875" style="5" bestFit="1" customWidth="1"/>
    <col min="49" max="49" width="6.6640625" style="5" customWidth="1"/>
    <col min="50" max="50" width="7.88671875" style="5" bestFit="1" customWidth="1"/>
    <col min="51" max="51" width="10.44140625" style="4" customWidth="1"/>
    <col min="52" max="52" width="10.109375" style="5" bestFit="1" customWidth="1"/>
    <col min="53" max="53" width="8.109375" style="5" customWidth="1"/>
    <col min="54" max="54" width="8" style="5" bestFit="1" customWidth="1"/>
    <col min="55" max="55" width="5.88671875" style="5" bestFit="1" customWidth="1"/>
    <col min="56" max="56" width="7.44140625" style="5" customWidth="1"/>
    <col min="57" max="58" width="8.6640625" style="5" customWidth="1"/>
    <col min="59" max="16384" width="9.109375" style="5"/>
  </cols>
  <sheetData>
    <row r="1" spans="1:58" s="7" customFormat="1" ht="27" customHeight="1" x14ac:dyDescent="0.3">
      <c r="A1" s="42" t="s">
        <v>31</v>
      </c>
      <c r="B1" s="42"/>
      <c r="C1" s="42"/>
      <c r="D1" s="8"/>
      <c r="E1" s="9"/>
      <c r="F1" s="47" t="s">
        <v>58</v>
      </c>
      <c r="G1" s="47"/>
      <c r="H1" s="47"/>
      <c r="I1" s="9"/>
      <c r="J1" s="10" t="s">
        <v>30</v>
      </c>
      <c r="K1" s="11">
        <v>46174</v>
      </c>
      <c r="L1" s="11"/>
      <c r="M1" s="9"/>
      <c r="P1" s="12"/>
      <c r="AY1" s="10"/>
    </row>
    <row r="2" spans="1:58" ht="18" x14ac:dyDescent="0.3">
      <c r="A2" s="13"/>
      <c r="J2" s="14"/>
      <c r="K2" s="15"/>
      <c r="L2" s="15"/>
      <c r="AU2" s="43" t="s">
        <v>29</v>
      </c>
      <c r="AV2" s="44"/>
      <c r="AW2" s="44"/>
      <c r="AX2" s="44"/>
      <c r="AY2" s="45"/>
      <c r="BA2" s="43" t="s">
        <v>28</v>
      </c>
      <c r="BB2" s="44"/>
      <c r="BC2" s="44"/>
      <c r="BD2" s="45"/>
    </row>
    <row r="3" spans="1:58" s="17" customFormat="1" ht="45" customHeight="1" x14ac:dyDescent="0.3">
      <c r="A3" s="18" t="s">
        <v>27</v>
      </c>
      <c r="B3" s="19" t="s">
        <v>26</v>
      </c>
      <c r="C3" s="18" t="s">
        <v>25</v>
      </c>
      <c r="D3" s="18" t="s">
        <v>24</v>
      </c>
      <c r="E3" s="38" t="s">
        <v>23</v>
      </c>
      <c r="F3" s="19" t="s">
        <v>22</v>
      </c>
      <c r="G3" s="19" t="s">
        <v>21</v>
      </c>
      <c r="H3" s="19" t="s">
        <v>20</v>
      </c>
      <c r="I3" s="19" t="s">
        <v>19</v>
      </c>
      <c r="J3" s="19" t="s">
        <v>18</v>
      </c>
      <c r="K3" s="19" t="s">
        <v>17</v>
      </c>
      <c r="L3" s="19" t="s">
        <v>16</v>
      </c>
      <c r="M3" s="19" t="s">
        <v>15</v>
      </c>
      <c r="N3" s="20">
        <v>1</v>
      </c>
      <c r="O3" s="20">
        <v>2</v>
      </c>
      <c r="P3" s="21">
        <v>3</v>
      </c>
      <c r="Q3" s="20">
        <v>4</v>
      </c>
      <c r="R3" s="20">
        <v>5</v>
      </c>
      <c r="S3" s="20">
        <v>6</v>
      </c>
      <c r="T3" s="20">
        <v>7</v>
      </c>
      <c r="U3" s="20">
        <v>8</v>
      </c>
      <c r="V3" s="20">
        <v>9</v>
      </c>
      <c r="W3" s="20">
        <v>10</v>
      </c>
      <c r="X3" s="20">
        <v>11</v>
      </c>
      <c r="Y3" s="20">
        <v>12</v>
      </c>
      <c r="Z3" s="20">
        <v>13</v>
      </c>
      <c r="AA3" s="20">
        <v>14</v>
      </c>
      <c r="AB3" s="20">
        <v>15</v>
      </c>
      <c r="AC3" s="20">
        <v>16</v>
      </c>
      <c r="AD3" s="20">
        <v>17</v>
      </c>
      <c r="AE3" s="20">
        <v>18</v>
      </c>
      <c r="AF3" s="20">
        <v>19</v>
      </c>
      <c r="AG3" s="20">
        <v>20</v>
      </c>
      <c r="AH3" s="20">
        <v>21</v>
      </c>
      <c r="AI3" s="20">
        <v>22</v>
      </c>
      <c r="AJ3" s="20">
        <v>23</v>
      </c>
      <c r="AK3" s="20">
        <v>24</v>
      </c>
      <c r="AL3" s="20">
        <v>25</v>
      </c>
      <c r="AM3" s="20">
        <v>26</v>
      </c>
      <c r="AN3" s="20">
        <v>27</v>
      </c>
      <c r="AO3" s="20">
        <v>28</v>
      </c>
      <c r="AP3" s="20">
        <v>29</v>
      </c>
      <c r="AQ3" s="20">
        <v>30</v>
      </c>
      <c r="AR3" s="20">
        <v>31</v>
      </c>
      <c r="AS3" s="20" t="s">
        <v>14</v>
      </c>
      <c r="AT3" s="20" t="s">
        <v>13</v>
      </c>
      <c r="AU3" s="20" t="s">
        <v>12</v>
      </c>
      <c r="AV3" s="20" t="s">
        <v>11</v>
      </c>
      <c r="AW3" s="20" t="s">
        <v>10</v>
      </c>
      <c r="AX3" s="20" t="s">
        <v>9</v>
      </c>
      <c r="AY3" s="19" t="s">
        <v>8</v>
      </c>
      <c r="AZ3" s="20" t="s">
        <v>7</v>
      </c>
      <c r="BA3" s="20" t="s">
        <v>6</v>
      </c>
      <c r="BB3" s="20" t="s">
        <v>5</v>
      </c>
      <c r="BC3" s="20" t="s">
        <v>4</v>
      </c>
      <c r="BD3" s="20" t="s">
        <v>3</v>
      </c>
      <c r="BE3" s="20" t="s">
        <v>2</v>
      </c>
      <c r="BF3" s="20" t="s">
        <v>1</v>
      </c>
    </row>
    <row r="4" spans="1:58" ht="15" customHeight="1" x14ac:dyDescent="0.3">
      <c r="A4" s="22">
        <v>1</v>
      </c>
      <c r="B4" s="23"/>
      <c r="C4" s="41" t="s">
        <v>34</v>
      </c>
      <c r="D4" s="35" t="s">
        <v>39</v>
      </c>
      <c r="E4" s="35"/>
      <c r="F4" s="40" t="s">
        <v>54</v>
      </c>
      <c r="G4" s="40" t="s">
        <v>46</v>
      </c>
      <c r="H4" s="39" t="s">
        <v>55</v>
      </c>
      <c r="I4" s="36"/>
      <c r="J4" s="22">
        <v>15221</v>
      </c>
      <c r="K4" s="25">
        <v>0</v>
      </c>
      <c r="L4" s="25">
        <v>0</v>
      </c>
      <c r="M4" s="22">
        <f t="shared" ref="M4:M10" si="0">SUM(J4:L4)</f>
        <v>15221</v>
      </c>
      <c r="N4" s="24"/>
      <c r="O4" s="24"/>
      <c r="P4" s="27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16">
        <v>19</v>
      </c>
      <c r="AT4" s="24">
        <v>0</v>
      </c>
      <c r="AU4" s="26">
        <f>J4/30*AS4</f>
        <v>9639.9666666666672</v>
      </c>
      <c r="AV4" s="26">
        <f t="shared" ref="AV4:AV10" si="1">K4/31*AS4</f>
        <v>0</v>
      </c>
      <c r="AW4" s="26">
        <f t="shared" ref="AW4:AW10" si="2">L4/31*AS4</f>
        <v>0</v>
      </c>
      <c r="AX4" s="26">
        <f t="shared" ref="AX4:AX10" si="3">M4/31/8*AT4</f>
        <v>0</v>
      </c>
      <c r="AY4" s="22">
        <v>0</v>
      </c>
      <c r="AZ4" s="26">
        <f t="shared" ref="AZ4:AZ10" si="4">AY4+AX4+AW4+AU4+AV4</f>
        <v>9639.9666666666672</v>
      </c>
      <c r="BA4" s="26">
        <f t="shared" ref="BA4:BA10" si="5">AZ4*0.75/100</f>
        <v>72.299750000000003</v>
      </c>
      <c r="BB4" s="26">
        <f t="shared" ref="BB4:BB10" si="6">AU4*12/100</f>
        <v>1156.796</v>
      </c>
      <c r="BC4" s="26">
        <f t="shared" ref="BC4:BC10" si="7">(AZ4-AX4)*0.2/100</f>
        <v>19.279933333333336</v>
      </c>
      <c r="BD4" s="26">
        <f t="shared" ref="BD4:BD10" si="8">BC4+BB4+BA4</f>
        <v>1248.3756833333332</v>
      </c>
      <c r="BE4" s="26">
        <f t="shared" ref="BE4:BE10" si="9">AZ4-BD4</f>
        <v>8391.5909833333335</v>
      </c>
      <c r="BF4" s="26"/>
    </row>
    <row r="5" spans="1:58" ht="15" customHeight="1" x14ac:dyDescent="0.3">
      <c r="A5" s="22">
        <v>2</v>
      </c>
      <c r="B5" s="23"/>
      <c r="C5" s="41" t="s">
        <v>35</v>
      </c>
      <c r="D5" s="24" t="s">
        <v>40</v>
      </c>
      <c r="E5" s="32"/>
      <c r="F5" s="40" t="s">
        <v>54</v>
      </c>
      <c r="G5" s="40" t="s">
        <v>47</v>
      </c>
      <c r="H5" s="39">
        <v>1328727853</v>
      </c>
      <c r="I5" s="26"/>
      <c r="J5" s="22">
        <v>15221</v>
      </c>
      <c r="K5" s="25">
        <v>0</v>
      </c>
      <c r="L5" s="25">
        <v>0</v>
      </c>
      <c r="M5" s="22">
        <f t="shared" si="0"/>
        <v>15221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>
        <v>20</v>
      </c>
      <c r="AT5" s="24">
        <v>0</v>
      </c>
      <c r="AU5" s="26">
        <f t="shared" ref="AU5:AU10" si="10">J5/30*AS5</f>
        <v>10147.333333333334</v>
      </c>
      <c r="AV5" s="26">
        <f t="shared" si="1"/>
        <v>0</v>
      </c>
      <c r="AW5" s="26">
        <f t="shared" si="2"/>
        <v>0</v>
      </c>
      <c r="AX5" s="26">
        <f t="shared" si="3"/>
        <v>0</v>
      </c>
      <c r="AY5" s="22">
        <v>0</v>
      </c>
      <c r="AZ5" s="26">
        <f t="shared" si="4"/>
        <v>10147.333333333334</v>
      </c>
      <c r="BA5" s="26">
        <f t="shared" si="5"/>
        <v>76.105000000000004</v>
      </c>
      <c r="BB5" s="26">
        <f t="shared" si="6"/>
        <v>1217.68</v>
      </c>
      <c r="BC5" s="26">
        <f t="shared" si="7"/>
        <v>20.294666666666668</v>
      </c>
      <c r="BD5" s="26">
        <f t="shared" si="8"/>
        <v>1314.0796666666668</v>
      </c>
      <c r="BE5" s="26">
        <f t="shared" si="9"/>
        <v>8833.2536666666674</v>
      </c>
      <c r="BF5" s="26"/>
    </row>
    <row r="6" spans="1:58" ht="15" customHeight="1" x14ac:dyDescent="0.3">
      <c r="A6" s="22">
        <v>3</v>
      </c>
      <c r="B6" s="23"/>
      <c r="C6" s="39" t="s">
        <v>32</v>
      </c>
      <c r="D6" s="35" t="s">
        <v>41</v>
      </c>
      <c r="E6" s="35"/>
      <c r="F6" s="40" t="s">
        <v>53</v>
      </c>
      <c r="G6" s="40" t="s">
        <v>48</v>
      </c>
      <c r="H6" s="39">
        <v>3911896085</v>
      </c>
      <c r="I6" s="36"/>
      <c r="J6" s="22">
        <v>15221</v>
      </c>
      <c r="K6" s="25">
        <v>0</v>
      </c>
      <c r="L6" s="25">
        <v>0</v>
      </c>
      <c r="M6" s="22">
        <f t="shared" si="0"/>
        <v>15221</v>
      </c>
      <c r="N6" s="24"/>
      <c r="O6" s="24"/>
      <c r="P6" s="27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16">
        <v>16</v>
      </c>
      <c r="AT6" s="24">
        <v>0</v>
      </c>
      <c r="AU6" s="26">
        <f t="shared" si="10"/>
        <v>8117.8666666666668</v>
      </c>
      <c r="AV6" s="26">
        <f t="shared" si="1"/>
        <v>0</v>
      </c>
      <c r="AW6" s="26">
        <f t="shared" si="2"/>
        <v>0</v>
      </c>
      <c r="AX6" s="26">
        <f t="shared" si="3"/>
        <v>0</v>
      </c>
      <c r="AY6" s="22">
        <v>0</v>
      </c>
      <c r="AZ6" s="26">
        <f t="shared" si="4"/>
        <v>8117.8666666666668</v>
      </c>
      <c r="BA6" s="26">
        <f t="shared" si="5"/>
        <v>60.883999999999993</v>
      </c>
      <c r="BB6" s="26">
        <f t="shared" si="6"/>
        <v>974.14399999999989</v>
      </c>
      <c r="BC6" s="26">
        <f t="shared" si="7"/>
        <v>16.235733333333336</v>
      </c>
      <c r="BD6" s="26">
        <f t="shared" si="8"/>
        <v>1051.2637333333332</v>
      </c>
      <c r="BE6" s="26">
        <f t="shared" si="9"/>
        <v>7066.6029333333336</v>
      </c>
      <c r="BF6" s="26"/>
    </row>
    <row r="7" spans="1:58" x14ac:dyDescent="0.3">
      <c r="A7" s="22">
        <v>4</v>
      </c>
      <c r="B7" s="23"/>
      <c r="C7" s="39" t="s">
        <v>36</v>
      </c>
      <c r="D7" s="24" t="s">
        <v>42</v>
      </c>
      <c r="E7" s="25"/>
      <c r="F7" s="40" t="s">
        <v>46</v>
      </c>
      <c r="G7" s="40" t="s">
        <v>49</v>
      </c>
      <c r="H7" s="39">
        <v>1328727854</v>
      </c>
      <c r="I7" s="26"/>
      <c r="J7" s="22">
        <v>15221</v>
      </c>
      <c r="K7" s="25">
        <v>0</v>
      </c>
      <c r="L7" s="25">
        <v>0</v>
      </c>
      <c r="M7" s="22">
        <f t="shared" si="0"/>
        <v>15221</v>
      </c>
      <c r="N7" s="24"/>
      <c r="O7" s="24"/>
      <c r="P7" s="27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16">
        <v>18</v>
      </c>
      <c r="AT7" s="24">
        <v>0</v>
      </c>
      <c r="AU7" s="26">
        <f t="shared" si="10"/>
        <v>9132.6</v>
      </c>
      <c r="AV7" s="26">
        <f t="shared" si="1"/>
        <v>0</v>
      </c>
      <c r="AW7" s="26">
        <f t="shared" si="2"/>
        <v>0</v>
      </c>
      <c r="AX7" s="26">
        <f t="shared" si="3"/>
        <v>0</v>
      </c>
      <c r="AY7" s="22">
        <v>0</v>
      </c>
      <c r="AZ7" s="26">
        <f t="shared" si="4"/>
        <v>9132.6</v>
      </c>
      <c r="BA7" s="26">
        <f t="shared" si="5"/>
        <v>68.494500000000002</v>
      </c>
      <c r="BB7" s="26">
        <f t="shared" si="6"/>
        <v>1095.912</v>
      </c>
      <c r="BC7" s="26">
        <f t="shared" si="7"/>
        <v>18.265200000000004</v>
      </c>
      <c r="BD7" s="26">
        <f t="shared" si="8"/>
        <v>1182.6717000000001</v>
      </c>
      <c r="BE7" s="26">
        <f t="shared" si="9"/>
        <v>7949.9283000000005</v>
      </c>
      <c r="BF7" s="26"/>
    </row>
    <row r="8" spans="1:58" ht="15" x14ac:dyDescent="0.35">
      <c r="A8" s="22">
        <v>5</v>
      </c>
      <c r="B8" s="23"/>
      <c r="C8" s="39" t="s">
        <v>33</v>
      </c>
      <c r="D8" s="33" t="s">
        <v>43</v>
      </c>
      <c r="E8" s="25"/>
      <c r="F8" s="40" t="s">
        <v>53</v>
      </c>
      <c r="G8" s="40" t="s">
        <v>50</v>
      </c>
      <c r="H8" s="39">
        <v>1327477540</v>
      </c>
      <c r="I8" s="26"/>
      <c r="J8" s="22">
        <v>15221</v>
      </c>
      <c r="K8" s="25">
        <v>0</v>
      </c>
      <c r="L8" s="25">
        <v>0</v>
      </c>
      <c r="M8" s="22">
        <f t="shared" si="0"/>
        <v>15221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>
        <v>17</v>
      </c>
      <c r="AT8" s="24">
        <v>0</v>
      </c>
      <c r="AU8" s="26">
        <f t="shared" si="10"/>
        <v>8625.2333333333336</v>
      </c>
      <c r="AV8" s="26">
        <f t="shared" si="1"/>
        <v>0</v>
      </c>
      <c r="AW8" s="26">
        <f t="shared" si="2"/>
        <v>0</v>
      </c>
      <c r="AX8" s="26">
        <f t="shared" si="3"/>
        <v>0</v>
      </c>
      <c r="AY8" s="22">
        <v>0</v>
      </c>
      <c r="AZ8" s="26">
        <f t="shared" si="4"/>
        <v>8625.2333333333336</v>
      </c>
      <c r="BA8" s="26">
        <f t="shared" si="5"/>
        <v>64.689250000000001</v>
      </c>
      <c r="BB8" s="26">
        <f t="shared" si="6"/>
        <v>1035.028</v>
      </c>
      <c r="BC8" s="26">
        <f t="shared" si="7"/>
        <v>17.250466666666668</v>
      </c>
      <c r="BD8" s="26">
        <f t="shared" si="8"/>
        <v>1116.9677166666665</v>
      </c>
      <c r="BE8" s="26">
        <f t="shared" si="9"/>
        <v>7508.2656166666675</v>
      </c>
      <c r="BF8" s="26"/>
    </row>
    <row r="9" spans="1:58" x14ac:dyDescent="0.3">
      <c r="A9" s="22">
        <v>6</v>
      </c>
      <c r="B9" s="23"/>
      <c r="C9" s="39" t="s">
        <v>37</v>
      </c>
      <c r="D9" s="30" t="s">
        <v>44</v>
      </c>
      <c r="E9" s="30"/>
      <c r="F9" s="40" t="s">
        <v>46</v>
      </c>
      <c r="G9" s="40" t="s">
        <v>51</v>
      </c>
      <c r="H9" s="39">
        <v>1328727855</v>
      </c>
      <c r="I9" s="34"/>
      <c r="J9" s="22">
        <v>15221</v>
      </c>
      <c r="K9" s="25">
        <v>0</v>
      </c>
      <c r="L9" s="25">
        <v>0</v>
      </c>
      <c r="M9" s="22">
        <f t="shared" si="0"/>
        <v>15221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16">
        <v>17</v>
      </c>
      <c r="AT9" s="24">
        <v>0</v>
      </c>
      <c r="AU9" s="26">
        <f t="shared" si="10"/>
        <v>8625.2333333333336</v>
      </c>
      <c r="AV9" s="26">
        <f t="shared" si="1"/>
        <v>0</v>
      </c>
      <c r="AW9" s="26">
        <f t="shared" si="2"/>
        <v>0</v>
      </c>
      <c r="AX9" s="26">
        <f t="shared" si="3"/>
        <v>0</v>
      </c>
      <c r="AY9" s="22">
        <v>0</v>
      </c>
      <c r="AZ9" s="26">
        <f t="shared" si="4"/>
        <v>8625.2333333333336</v>
      </c>
      <c r="BA9" s="26">
        <f t="shared" si="5"/>
        <v>64.689250000000001</v>
      </c>
      <c r="BB9" s="26">
        <f t="shared" si="6"/>
        <v>1035.028</v>
      </c>
      <c r="BC9" s="26">
        <f t="shared" si="7"/>
        <v>17.250466666666668</v>
      </c>
      <c r="BD9" s="26">
        <f t="shared" si="8"/>
        <v>1116.9677166666665</v>
      </c>
      <c r="BE9" s="26">
        <f t="shared" si="9"/>
        <v>7508.2656166666675</v>
      </c>
      <c r="BF9" s="26"/>
    </row>
    <row r="10" spans="1:58" x14ac:dyDescent="0.3">
      <c r="A10" s="22">
        <v>7</v>
      </c>
      <c r="B10" s="23"/>
      <c r="C10" s="39" t="s">
        <v>38</v>
      </c>
      <c r="D10" s="35" t="s">
        <v>45</v>
      </c>
      <c r="E10" s="35"/>
      <c r="F10" s="40" t="s">
        <v>46</v>
      </c>
      <c r="G10" s="40" t="s">
        <v>52</v>
      </c>
      <c r="H10" s="39">
        <v>1328727856</v>
      </c>
      <c r="I10" s="36"/>
      <c r="J10" s="22">
        <v>15221</v>
      </c>
      <c r="K10" s="25">
        <v>0</v>
      </c>
      <c r="L10" s="25">
        <v>0</v>
      </c>
      <c r="M10" s="22">
        <f t="shared" si="0"/>
        <v>15221</v>
      </c>
      <c r="N10" s="24"/>
      <c r="O10" s="24"/>
      <c r="P10" s="27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16">
        <v>20</v>
      </c>
      <c r="AT10" s="24">
        <v>0</v>
      </c>
      <c r="AU10" s="26">
        <f t="shared" si="10"/>
        <v>10147.333333333334</v>
      </c>
      <c r="AV10" s="26">
        <f t="shared" si="1"/>
        <v>0</v>
      </c>
      <c r="AW10" s="26">
        <f t="shared" si="2"/>
        <v>0</v>
      </c>
      <c r="AX10" s="26">
        <f t="shared" si="3"/>
        <v>0</v>
      </c>
      <c r="AY10" s="22">
        <v>0</v>
      </c>
      <c r="AZ10" s="26">
        <f t="shared" si="4"/>
        <v>10147.333333333334</v>
      </c>
      <c r="BA10" s="26">
        <f t="shared" si="5"/>
        <v>76.105000000000004</v>
      </c>
      <c r="BB10" s="26">
        <f t="shared" si="6"/>
        <v>1217.68</v>
      </c>
      <c r="BC10" s="26">
        <f t="shared" si="7"/>
        <v>20.294666666666668</v>
      </c>
      <c r="BD10" s="26">
        <f t="shared" si="8"/>
        <v>1314.0796666666668</v>
      </c>
      <c r="BE10" s="26">
        <f t="shared" si="9"/>
        <v>8833.2536666666674</v>
      </c>
      <c r="BF10" s="26"/>
    </row>
    <row r="11" spans="1:58" ht="15" customHeight="1" x14ac:dyDescent="0.3">
      <c r="A11" s="22"/>
      <c r="B11" s="28"/>
      <c r="C11" s="29" t="s">
        <v>0</v>
      </c>
      <c r="D11" s="29"/>
      <c r="E11" s="25"/>
      <c r="F11" s="25"/>
      <c r="G11" s="25"/>
      <c r="H11" s="25"/>
      <c r="I11" s="25"/>
      <c r="J11" s="31">
        <f t="shared" ref="J11:BE11" si="11">SUM(J4:J10)</f>
        <v>106547</v>
      </c>
      <c r="K11" s="31">
        <f t="shared" si="11"/>
        <v>0</v>
      </c>
      <c r="L11" s="31">
        <f t="shared" si="11"/>
        <v>0</v>
      </c>
      <c r="M11" s="31">
        <f t="shared" si="11"/>
        <v>106547</v>
      </c>
      <c r="N11" s="31">
        <f t="shared" si="11"/>
        <v>0</v>
      </c>
      <c r="O11" s="31">
        <f t="shared" si="11"/>
        <v>0</v>
      </c>
      <c r="P11" s="31">
        <f t="shared" si="11"/>
        <v>0</v>
      </c>
      <c r="Q11" s="31">
        <f t="shared" si="11"/>
        <v>0</v>
      </c>
      <c r="R11" s="31">
        <f t="shared" si="11"/>
        <v>0</v>
      </c>
      <c r="S11" s="31">
        <f t="shared" si="11"/>
        <v>0</v>
      </c>
      <c r="T11" s="31">
        <f t="shared" si="11"/>
        <v>0</v>
      </c>
      <c r="U11" s="31">
        <f t="shared" si="11"/>
        <v>0</v>
      </c>
      <c r="V11" s="31">
        <f t="shared" si="11"/>
        <v>0</v>
      </c>
      <c r="W11" s="31">
        <f t="shared" si="11"/>
        <v>0</v>
      </c>
      <c r="X11" s="31">
        <f t="shared" si="11"/>
        <v>0</v>
      </c>
      <c r="Y11" s="31">
        <f t="shared" si="11"/>
        <v>0</v>
      </c>
      <c r="Z11" s="31">
        <f t="shared" si="11"/>
        <v>0</v>
      </c>
      <c r="AA11" s="31">
        <f t="shared" si="11"/>
        <v>0</v>
      </c>
      <c r="AB11" s="31">
        <f t="shared" si="11"/>
        <v>0</v>
      </c>
      <c r="AC11" s="31">
        <f t="shared" si="11"/>
        <v>0</v>
      </c>
      <c r="AD11" s="31">
        <f t="shared" si="11"/>
        <v>0</v>
      </c>
      <c r="AE11" s="31">
        <f t="shared" si="11"/>
        <v>0</v>
      </c>
      <c r="AF11" s="31">
        <f t="shared" si="11"/>
        <v>0</v>
      </c>
      <c r="AG11" s="31">
        <f t="shared" si="11"/>
        <v>0</v>
      </c>
      <c r="AH11" s="31">
        <f t="shared" si="11"/>
        <v>0</v>
      </c>
      <c r="AI11" s="31">
        <f t="shared" si="11"/>
        <v>0</v>
      </c>
      <c r="AJ11" s="31">
        <f t="shared" si="11"/>
        <v>0</v>
      </c>
      <c r="AK11" s="31">
        <f t="shared" si="11"/>
        <v>0</v>
      </c>
      <c r="AL11" s="31">
        <f t="shared" si="11"/>
        <v>0</v>
      </c>
      <c r="AM11" s="31">
        <f t="shared" si="11"/>
        <v>0</v>
      </c>
      <c r="AN11" s="31">
        <f t="shared" si="11"/>
        <v>0</v>
      </c>
      <c r="AO11" s="31">
        <f t="shared" si="11"/>
        <v>0</v>
      </c>
      <c r="AP11" s="31">
        <f t="shared" si="11"/>
        <v>0</v>
      </c>
      <c r="AQ11" s="31">
        <f t="shared" si="11"/>
        <v>0</v>
      </c>
      <c r="AR11" s="31">
        <f t="shared" si="11"/>
        <v>0</v>
      </c>
      <c r="AS11" s="31">
        <f t="shared" si="11"/>
        <v>127</v>
      </c>
      <c r="AT11" s="31">
        <f t="shared" si="11"/>
        <v>0</v>
      </c>
      <c r="AU11" s="31">
        <f t="shared" si="11"/>
        <v>64435.566666666673</v>
      </c>
      <c r="AV11" s="31">
        <f t="shared" si="11"/>
        <v>0</v>
      </c>
      <c r="AW11" s="31">
        <f t="shared" si="11"/>
        <v>0</v>
      </c>
      <c r="AX11" s="31">
        <f t="shared" si="11"/>
        <v>0</v>
      </c>
      <c r="AY11" s="31">
        <f t="shared" si="11"/>
        <v>0</v>
      </c>
      <c r="AZ11" s="31">
        <f t="shared" si="11"/>
        <v>64435.566666666673</v>
      </c>
      <c r="BA11" s="31">
        <f t="shared" si="11"/>
        <v>483.26675000000006</v>
      </c>
      <c r="BB11" s="31">
        <f t="shared" si="11"/>
        <v>7732.2680000000009</v>
      </c>
      <c r="BC11" s="31">
        <f t="shared" si="11"/>
        <v>128.87113333333335</v>
      </c>
      <c r="BD11" s="31">
        <f t="shared" si="11"/>
        <v>8344.4058833333329</v>
      </c>
      <c r="BE11" s="31">
        <f t="shared" si="11"/>
        <v>56091.16078333334</v>
      </c>
      <c r="BF11" s="31"/>
    </row>
    <row r="14" spans="1:58" x14ac:dyDescent="0.3">
      <c r="F14" s="46" t="s">
        <v>56</v>
      </c>
      <c r="G14" s="4">
        <v>483</v>
      </c>
    </row>
    <row r="15" spans="1:58" x14ac:dyDescent="0.3">
      <c r="F15" s="46" t="s">
        <v>57</v>
      </c>
      <c r="G15" s="37">
        <f>64436*3.25%</f>
        <v>2094.17</v>
      </c>
    </row>
    <row r="17" spans="6:7" x14ac:dyDescent="0.3">
      <c r="F17" s="4" t="s">
        <v>0</v>
      </c>
      <c r="G17" s="37">
        <f>SUM(G14:G16)</f>
        <v>2577.17</v>
      </c>
    </row>
  </sheetData>
  <mergeCells count="4">
    <mergeCell ref="A1:C1"/>
    <mergeCell ref="AU2:AY2"/>
    <mergeCell ref="BA2:BD2"/>
    <mergeCell ref="F1:H1"/>
  </mergeCells>
  <hyperlinks>
    <hyperlink ref="F14" r:id="rId1" xr:uid="{6F31E41D-CD68-44C1-8A2D-6388BCF57051}"/>
    <hyperlink ref="F15" r:id="rId2" xr:uid="{76135864-8730-433B-A95F-AA98036EBC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 Sheet Apr 26</vt:lpstr>
      <vt:lpstr>Salary Sheet May 26</vt:lpstr>
      <vt:lpstr>Salary sheet Jun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Yadav</dc:creator>
  <cp:lastModifiedBy>Premveersingh</cp:lastModifiedBy>
  <dcterms:created xsi:type="dcterms:W3CDTF">2023-06-05T15:05:40Z</dcterms:created>
  <dcterms:modified xsi:type="dcterms:W3CDTF">2026-07-31T07:02:50Z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62454e22517c4a58b6995d0dca647f19</vt:lpwstr>
  </property>
</Properties>
</file>